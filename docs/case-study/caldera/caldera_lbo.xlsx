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sumptions" sheetId="1" r:id="rId1"/>
    <sheet name="Operating_Model" sheetId="2" r:id="rId2"/>
    <sheet name="Sources_Uses" sheetId="3" r:id="rId3"/>
    <sheet name="Debt_Schedule" sheetId="4" r:id="rId4"/>
    <sheet name="Debt_Schedule_Avg" sheetId="5" r:id="rId5"/>
    <sheet name="Sens_Models" sheetId="6" r:id="rId6"/>
    <sheet name="Returns" sheetId="7" r:id="rId7"/>
    <sheet name="Checks" sheetId="8" r:id="rId8"/>
  </sheets>
  <definedNames>
    <definedName name="cash_sweep_pct">Assumptions!$C$16</definedName>
    <definedName name="commitment_fee">Assumptions!$C$13</definedName>
    <definedName name="da_pct">Assumptions!$C$32</definedName>
    <definedName name="entry_multiple">Assumptions!$C$4</definedName>
    <definedName name="existing_cash">Assumptions!$C$23</definedName>
    <definedName name="existing_debt">Assumptions!$C$22</definedName>
    <definedName name="exit_multiple">Assumptions!$C$5</definedName>
    <definedName name="fin_fee_pct">Assumptions!$C$28</definedName>
    <definedName name="hold_years">Assumptions!$C$6</definedName>
    <definedName name="hurdle_irr">Assumptions!$C$36</definedName>
    <definedName name="ltm_ebitda">Operating_Model!$B$19</definedName>
    <definedName name="mezz_cash_rate">Assumptions!$C$18</definedName>
    <definedName name="mezz_pik_rate">Assumptions!$C$19</definedName>
    <definedName name="mezz_turns">Assumptions!$C$17</definedName>
    <definedName name="min_cash">Assumptions!$C$24</definedName>
    <definedName name="nwc_pct">Assumptions!$C$33</definedName>
    <definedName name="revolver_capacity">Assumptions!$C$11</definedName>
    <definedName name="revolver_rate">Assumptions!$C$12</definedName>
    <definedName name="tax_rate">Assumptions!$C$31</definedName>
    <definedName name="tlb_amort_pct">Assumptions!$C$15</definedName>
    <definedName name="tlb_rate">Assumptions!$C$14</definedName>
    <definedName name="tlb_turns">Assumptions!$C$10</definedName>
    <definedName name="txn_fee_pct">Assumptions!$C$27</definedName>
  </definedNames>
  <calcPr calcId="171027" fullCalcOnLoad="1" iterate="1" iterateCount="200" iterateDelta="0.0000001"/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sheetData>
    <row r="3">
      <c r="B3" t="inlineStr">
        <is>
          <t>TRANSACTION</t>
        </is>
      </c>
    </row>
    <row r="4">
      <c r="B4" t="inlineStr">
        <is>
          <t>Entry multiple (x LTM EBITDA)</t>
        </is>
      </c>
      <c r="C4">
        <v>8.0</v>
      </c>
    </row>
    <row r="5">
      <c r="B5" t="inlineStr">
        <is>
          <t>Exit multiple (x exit EBITDA)</t>
        </is>
      </c>
      <c r="C5">
        <v>8.0</v>
      </c>
    </row>
    <row r="6">
      <c r="B6" t="inlineStr">
        <is>
          <t>Hold period (years)</t>
        </is>
      </c>
      <c r="C6">
        <v>5.0</v>
      </c>
    </row>
    <row r="9">
      <c r="B9" t="inlineStr">
        <is>
          <t>FINANCING</t>
        </is>
      </c>
    </row>
    <row r="10">
      <c r="B10" t="inlineStr">
        <is>
          <t>Term Loan B turns (x LTM EBITDA)</t>
        </is>
      </c>
      <c r="C10">
        <v>5.0</v>
      </c>
    </row>
    <row r="11">
      <c r="B11" t="inlineStr">
        <is>
          <t>Revolver capacity</t>
        </is>
      </c>
      <c r="C11">
        <v>25.0</v>
      </c>
    </row>
    <row r="12">
      <c r="B12" t="inlineStr">
        <is>
          <t>Revolver margin</t>
        </is>
      </c>
      <c r="C12">
        <v>0.09</v>
      </c>
    </row>
    <row r="13">
      <c r="B13" t="inlineStr">
        <is>
          <t>Revolver commitment fee (undrawn)</t>
        </is>
      </c>
      <c r="C13">
        <v>0.005</v>
      </c>
    </row>
    <row r="14">
      <c r="B14" t="inlineStr">
        <is>
          <t>TLB margin</t>
        </is>
      </c>
      <c r="C14">
        <v>0.08</v>
      </c>
    </row>
    <row r="15">
      <c r="B15" t="inlineStr">
        <is>
          <t>TLB mandatory amortisation (% of original)</t>
        </is>
      </c>
      <c r="C15">
        <v>0.01</v>
      </c>
    </row>
    <row r="16">
      <c r="B16" t="inlineStr">
        <is>
          <t>Excess-cash sweep share</t>
        </is>
      </c>
      <c r="C16">
        <v>0.75</v>
      </c>
    </row>
    <row r="17">
      <c r="B17" t="inlineStr">
        <is>
          <t>Mezzanine turns (x LTM EBITDA)</t>
        </is>
      </c>
      <c r="C17">
        <v>1.0</v>
      </c>
    </row>
    <row r="18">
      <c r="B18" t="inlineStr">
        <is>
          <t>Mezzanine cash coupon</t>
        </is>
      </c>
      <c r="C18">
        <v>0.12</v>
      </c>
    </row>
    <row r="19">
      <c r="B19" t="inlineStr">
        <is>
          <t>Mezzanine PIK accrual</t>
        </is>
      </c>
      <c r="C19">
        <v>0.02</v>
      </c>
    </row>
    <row r="21">
      <c r="B21" t="inlineStr">
        <is>
          <t>EXISTING BALANCE SHEET</t>
        </is>
      </c>
    </row>
    <row r="22">
      <c r="B22" t="inlineStr">
        <is>
          <t>Existing debt (repaid at close)</t>
        </is>
      </c>
      <c r="C22">
        <v>55.0</v>
      </c>
    </row>
    <row r="23">
      <c r="B23" t="inlineStr">
        <is>
          <t>Existing cash</t>
        </is>
      </c>
      <c r="C23">
        <v>10.0</v>
      </c>
    </row>
    <row r="24">
      <c r="B24" t="inlineStr">
        <is>
          <t>Minimum cash</t>
        </is>
      </c>
      <c r="C24">
        <v>8.0</v>
      </c>
    </row>
    <row r="26">
      <c r="B26" t="inlineStr">
        <is>
          <t>FEES</t>
        </is>
      </c>
    </row>
    <row r="27">
      <c r="B27" t="inlineStr">
        <is>
          <t>Transaction fees (% of EV)</t>
        </is>
      </c>
      <c r="C27">
        <v>0.02</v>
      </c>
    </row>
    <row r="28">
      <c r="B28" t="inlineStr">
        <is>
          <t>Financing fees (% of funded debt)</t>
        </is>
      </c>
      <c r="C28">
        <v>0.025</v>
      </c>
    </row>
    <row r="30">
      <c r="B30" t="inlineStr">
        <is>
          <t>OPERATING</t>
        </is>
      </c>
    </row>
    <row r="31">
      <c r="B31" t="inlineStr">
        <is>
          <t>Tax rate</t>
        </is>
      </c>
      <c r="C31">
        <v>0.25</v>
      </c>
    </row>
    <row r="32">
      <c r="B32" t="inlineStr">
        <is>
          <t>D&amp;A (% of revenue)</t>
        </is>
      </c>
      <c r="C32">
        <v>0.045</v>
      </c>
    </row>
    <row r="33">
      <c r="B33" t="inlineStr">
        <is>
          <t>Δ NWC (% of revenue increase)</t>
        </is>
      </c>
      <c r="C33">
        <v>0.15</v>
      </c>
    </row>
    <row r="35">
      <c r="B35" t="inlineStr">
        <is>
          <t>RETURNS</t>
        </is>
      </c>
    </row>
    <row r="36">
      <c r="B36" t="inlineStr">
        <is>
          <t>Hurdle IRR</t>
        </is>
      </c>
      <c r="C36">
        <v>0.2</v>
      </c>
    </row>
  </sheetData>
</worksheet>
</file>

<file path=xl/worksheets/sheet2.xml><?xml version="1.0" encoding="utf-8"?>
<worksheet xmlns="http://schemas.openxmlformats.org/spreadsheetml/2006/main">
  <sheetData>
    <row r="2">
      <c r="A2" t="inlineStr">
        <is>
          <t>Operating model (EUR m)</t>
        </is>
      </c>
      <c r="B2" t="inlineStr">
        <is>
          <t>FY2026 (LTM)</t>
        </is>
      </c>
      <c r="C2" t="inlineStr">
        <is>
          <t>FY2027</t>
        </is>
      </c>
      <c r="D2" t="inlineStr">
        <is>
          <t>FY2028</t>
        </is>
      </c>
      <c r="E2" t="inlineStr">
        <is>
          <t>FY2029</t>
        </is>
      </c>
      <c r="F2" t="inlineStr">
        <is>
          <t>FY2030</t>
        </is>
      </c>
      <c r="G2" t="inlineStr">
        <is>
          <t>FY2031</t>
        </is>
      </c>
    </row>
    <row r="4">
      <c r="B4" t="inlineStr">
        <is>
          <t>Seals revenue</t>
        </is>
      </c>
      <c r="C4">
        <v>96.0</v>
      </c>
    </row>
    <row r="5">
      <c r="B5" t="inlineStr">
        <is>
          <t>  growth %</t>
        </is>
      </c>
      <c r="C5">
        <v>0.08</v>
      </c>
      <c r="D5">
        <v>0.08</v>
      </c>
      <c r="E5">
        <v>0.07</v>
      </c>
      <c r="F5">
        <v>0.07</v>
      </c>
      <c r="G5">
        <v>0.06</v>
      </c>
    </row>
    <row r="6">
      <c r="B6" t="inlineStr">
        <is>
          <t>  revenue</t>
        </is>
      </c>
      <c r="C6">
        <f>=$C$4*(1+C5)</f>
      </c>
      <c r="D6">
        <f>=C6*(1+D5)</f>
      </c>
      <c r="E6">
        <f>=D6*(1+E5)</f>
      </c>
      <c r="F6">
        <f>=E6*(1+F5)</f>
      </c>
      <c r="G6">
        <f>=F6*(1+G5)</f>
      </c>
    </row>
    <row r="7">
      <c r="B7" t="inlineStr">
        <is>
          <t>Bearings revenue</t>
        </is>
      </c>
      <c r="C7">
        <v>74.0</v>
      </c>
    </row>
    <row r="8">
      <c r="B8" t="inlineStr">
        <is>
          <t>  growth %</t>
        </is>
      </c>
      <c r="C8">
        <v>0.04</v>
      </c>
      <c r="D8">
        <v>0.04</v>
      </c>
      <c r="E8">
        <v>0.04</v>
      </c>
      <c r="F8">
        <v>0.035</v>
      </c>
      <c r="G8">
        <v>0.035</v>
      </c>
    </row>
    <row r="9">
      <c r="B9" t="inlineStr">
        <is>
          <t>  revenue</t>
        </is>
      </c>
      <c r="C9">
        <f>=$C$7*(1+C8)</f>
      </c>
      <c r="D9">
        <f>=C9*(1+D8)</f>
      </c>
      <c r="E9">
        <f>=D9*(1+E8)</f>
      </c>
      <c r="F9">
        <f>=E9*(1+F8)</f>
      </c>
      <c r="G9">
        <f>=F9*(1+G8)</f>
      </c>
    </row>
    <row r="10">
      <c r="B10" t="inlineStr">
        <is>
          <t>Fabrication revenue</t>
        </is>
      </c>
      <c r="C10">
        <v>58.0</v>
      </c>
    </row>
    <row r="11">
      <c r="B11" t="inlineStr">
        <is>
          <t>  growth %</t>
        </is>
      </c>
      <c r="C11">
        <v>0.025</v>
      </c>
      <c r="D11">
        <v>0.025</v>
      </c>
      <c r="E11">
        <v>0.02</v>
      </c>
      <c r="F11">
        <v>0.02</v>
      </c>
      <c r="G11">
        <v>0.02</v>
      </c>
    </row>
    <row r="12">
      <c r="B12" t="inlineStr">
        <is>
          <t>  revenue</t>
        </is>
      </c>
      <c r="C12">
        <f>=$C$10*(1+C11)</f>
      </c>
      <c r="D12">
        <f>=C12*(1+D11)</f>
      </c>
      <c r="E12">
        <f>=D12*(1+E11)</f>
      </c>
      <c r="F12">
        <f>=E12*(1+F11)</f>
      </c>
      <c r="G12">
        <f>=F12*(1+G11)</f>
      </c>
    </row>
    <row r="14">
      <c r="B14" t="inlineStr">
        <is>
          <t>Total revenue</t>
        </is>
      </c>
      <c r="C14">
        <f>=C6+C9+C12</f>
      </c>
      <c r="D14">
        <f>=D6+D9+D12</f>
      </c>
      <c r="E14">
        <f>=E6+E9+E12</f>
      </c>
      <c r="F14">
        <f>=F6+F9+F12</f>
      </c>
      <c r="G14">
        <f>=G6+G9+G12</f>
      </c>
    </row>
    <row r="15">
      <c r="B15" t="inlineStr">
        <is>
          <t>EBITDA margins</t>
        </is>
      </c>
    </row>
    <row r="16">
      <c r="B16" t="inlineStr">
        <is>
          <t>  seals margin</t>
        </is>
      </c>
      <c r="C16">
        <v>0.264</v>
      </c>
      <c r="D16">
        <v>0.268</v>
      </c>
      <c r="E16">
        <v>0.272</v>
      </c>
      <c r="F16">
        <v>0.276</v>
      </c>
      <c r="G16">
        <v>0.28</v>
      </c>
    </row>
    <row r="17">
      <c r="B17" t="inlineStr">
        <is>
          <t>  bearings margin</t>
        </is>
      </c>
      <c r="C17">
        <v>0.192</v>
      </c>
      <c r="D17">
        <v>0.194</v>
      </c>
      <c r="E17">
        <v>0.196</v>
      </c>
      <c r="F17">
        <v>0.198</v>
      </c>
      <c r="G17">
        <v>0.2</v>
      </c>
    </row>
    <row r="18">
      <c r="B18" t="inlineStr">
        <is>
          <t>  fabrication margin</t>
        </is>
      </c>
      <c r="C18">
        <v>0.127</v>
      </c>
      <c r="D18">
        <v>0.129</v>
      </c>
      <c r="E18">
        <v>0.131</v>
      </c>
      <c r="F18">
        <v>0.133</v>
      </c>
      <c r="G18">
        <v>0.135</v>
      </c>
    </row>
    <row r="19">
      <c r="B19" t="inlineStr">
        <is>
          <t>Total EBITDA</t>
        </is>
      </c>
      <c r="C19">
        <f>=C6*C16+C9*C17+C12*C18</f>
      </c>
      <c r="D19">
        <f>=D6*D16+D9*D17+D12*D18</f>
      </c>
      <c r="E19">
        <f>=E6*E16+E9*E17+E12*E18</f>
      </c>
      <c r="F19">
        <f>=F6*F16+F9*F17+F12*F18</f>
      </c>
      <c r="G19">
        <f>=G6*G16+G9*G17+G12*G18</f>
      </c>
    </row>
    <row r="21">
      <c r="B21" t="inlineStr">
        <is>
          <t>D&amp;A</t>
        </is>
      </c>
      <c r="C21">
        <f>=da_pct*C14</f>
      </c>
      <c r="D21">
        <f>=da_pct*D14</f>
      </c>
      <c r="E21">
        <f>=da_pct*E14</f>
      </c>
      <c r="F21">
        <f>=da_pct*F14</f>
      </c>
      <c r="G21">
        <f>=da_pct*G14</f>
      </c>
    </row>
    <row r="22">
      <c r="B22" t="inlineStr">
        <is>
          <t>EBIT (pre-interest)</t>
        </is>
      </c>
      <c r="C22">
        <f>=C19-C21</f>
      </c>
      <c r="D22">
        <f>=D19-D21</f>
      </c>
      <c r="E22">
        <f>=E19-E21</f>
      </c>
      <c r="F22">
        <f>=F19-F21</f>
      </c>
      <c r="G22">
        <f>=G19-G21</f>
      </c>
    </row>
    <row r="23">
      <c r="B23" t="inlineStr">
        <is>
          <t>Capex % of revenue</t>
        </is>
      </c>
      <c r="C23">
        <v>0.055</v>
      </c>
      <c r="D23">
        <v>0.05</v>
      </c>
      <c r="E23">
        <v>0.045</v>
      </c>
      <c r="F23">
        <v>0.04</v>
      </c>
      <c r="G23">
        <v>0.04</v>
      </c>
    </row>
    <row r="24">
      <c r="B24" t="inlineStr">
        <is>
          <t>Capex</t>
        </is>
      </c>
      <c r="C24">
        <f>=C23*C14</f>
      </c>
      <c r="D24">
        <f>=D23*D14</f>
      </c>
      <c r="E24">
        <f>=E23*E14</f>
      </c>
      <c r="F24">
        <f>=F23*F14</f>
      </c>
      <c r="G24">
        <f>=G23*G14</f>
      </c>
    </row>
    <row r="25">
      <c r="B25" t="inlineStr">
        <is>
          <t>Δ NWC</t>
        </is>
      </c>
      <c r="C25">
        <f>=nwc_pct*(C14-B14)</f>
      </c>
      <c r="D25">
        <f>=nwc_pct*(D14-C14)</f>
      </c>
      <c r="E25">
        <f>=nwc_pct*(E14-D14)</f>
      </c>
      <c r="F25">
        <f>=nwc_pct*(F14-E14)</f>
      </c>
      <c r="G25">
        <f>=nwc_pct*(G14-F14)</f>
      </c>
    </row>
  </sheetData>
</worksheet>
</file>

<file path=xl/worksheets/sheet3.xml><?xml version="1.0" encoding="utf-8"?>
<worksheet xmlns="http://schemas.openxmlformats.org/spreadsheetml/2006/main">
  <sheetData>
    <row r="2">
      <c r="A2" t="inlineStr">
        <is>
          <t>Sources &amp; uses at close (EUR m)</t>
        </is>
      </c>
    </row>
    <row r="3">
      <c r="B3" t="inlineStr">
        <is>
          <t>Entry EV</t>
        </is>
      </c>
      <c r="C3">
        <f>=entry_multiple*Operating_Model!$B$19</f>
      </c>
    </row>
    <row r="4">
      <c r="B4" t="inlineStr">
        <is>
          <t>Purchase equity value</t>
        </is>
      </c>
      <c r="C4">
        <f>=C3-existing_debt+existing_cash</f>
      </c>
    </row>
    <row r="9">
      <c r="B9" t="inlineStr">
        <is>
          <t>USES</t>
        </is>
      </c>
    </row>
    <row r="10">
      <c r="B10" t="inlineStr">
        <is>
          <t>  Purchase of equity</t>
        </is>
      </c>
      <c r="C10">
        <f>=C4</f>
      </c>
    </row>
    <row r="11">
      <c r="B11" t="inlineStr">
        <is>
          <t>  Repay existing debt</t>
        </is>
      </c>
      <c r="C11">
        <f>=existing_debt</f>
      </c>
    </row>
    <row r="12">
      <c r="B12" t="inlineStr">
        <is>
          <t>  Transaction fees</t>
        </is>
      </c>
      <c r="C12">
        <f>=txn_fee_pct*C3</f>
      </c>
    </row>
    <row r="13">
      <c r="B13" t="inlineStr">
        <is>
          <t>  Financing fees</t>
        </is>
      </c>
      <c r="C13">
        <f>=fin_fee_pct*(C17+C18)</f>
      </c>
    </row>
    <row r="14">
      <c r="B14" t="inlineStr">
        <is>
          <t>Total uses</t>
        </is>
      </c>
      <c r="C14">
        <f>=SUM(C10:C13)</f>
      </c>
    </row>
    <row r="16">
      <c r="B16" t="inlineStr">
        <is>
          <t>SOURCES</t>
        </is>
      </c>
    </row>
    <row r="17">
      <c r="B17" t="inlineStr">
        <is>
          <t>  Term Loan B</t>
        </is>
      </c>
      <c r="C17">
        <f>=tlb_turns*Operating_Model!$B$19</f>
      </c>
    </row>
    <row r="18">
      <c r="B18" t="inlineStr">
        <is>
          <t>  Mezzanine</t>
        </is>
      </c>
      <c r="C18">
        <f>=mezz_turns*Operating_Model!$B$19</f>
      </c>
    </row>
    <row r="19">
      <c r="B19" t="inlineStr">
        <is>
          <t>  Balance-sheet cash used</t>
        </is>
      </c>
      <c r="C19">
        <f>=existing_cash-min_cash</f>
      </c>
    </row>
    <row r="20">
      <c r="B20" t="inlineStr">
        <is>
          <t>  Sponsor equity (plug)</t>
        </is>
      </c>
      <c r="C20">
        <f>=C14-SUM(C17:C19)</f>
      </c>
    </row>
    <row r="21">
      <c r="B21" t="inlineStr">
        <is>
          <t>Total sources</t>
        </is>
      </c>
      <c r="C21">
        <f>=SUM(C17:C20)</f>
      </c>
    </row>
    <row r="23">
      <c r="B23" t="inlineStr">
        <is>
          <t>CHECK sources = uses</t>
        </is>
      </c>
      <c r="C23">
        <f>=IF(ABS(C21-C14)&lt;0.01,"OK","BREAK")</f>
      </c>
    </row>
  </sheetData>
</worksheet>
</file>

<file path=xl/worksheets/sheet4.xml><?xml version="1.0" encoding="utf-8"?>
<worksheet xmlns="http://schemas.openxmlformats.org/spreadsheetml/2006/main">
  <sheetData>
    <row r="2">
      <c r="A2" t="inlineStr">
        <is>
          <t>Debt schedule (EUR m)</t>
        </is>
      </c>
      <c r="B2" t="inlineStr">
        <is>
          <t>At close</t>
        </is>
      </c>
      <c r="C2">
        <f>=Operating_Model!C19</f>
      </c>
      <c r="D2">
        <f>=Operating_Model!D19</f>
      </c>
      <c r="E2">
        <f>=Operating_Model!E19</f>
      </c>
      <c r="F2">
        <f>=Operating_Model!F19</f>
      </c>
      <c r="G2">
        <f>=Operating_Model!G19</f>
      </c>
    </row>
    <row r="3">
      <c r="C3">
        <f>=Operating_Model!C21</f>
      </c>
      <c r="D3">
        <f>=Operating_Model!D21</f>
      </c>
      <c r="E3">
        <f>=Operating_Model!E21</f>
      </c>
      <c r="F3">
        <f>=Operating_Model!F21</f>
      </c>
      <c r="G3">
        <f>=Operating_Model!G21</f>
      </c>
    </row>
    <row r="5">
      <c r="B5" t="inlineStr">
        <is>
          <t>Term loan B</t>
        </is>
      </c>
    </row>
    <row r="6">
      <c r="B6">
        <f>=Sources_Uses!C17</f>
      </c>
      <c r="C6">
        <f>=B6</f>
      </c>
      <c r="D6">
        <f>=C10</f>
      </c>
      <c r="E6">
        <f>=D10</f>
      </c>
      <c r="F6">
        <f>=E10</f>
      </c>
      <c r="G6">
        <f>=F10</f>
      </c>
    </row>
    <row r="7">
      <c r="B7" t="inlineStr">
        <is>
          <t>  Interest</t>
        </is>
      </c>
      <c r="C7">
        <f>=tlb_rate*C6</f>
      </c>
      <c r="D7">
        <f>=tlb_rate*D6</f>
      </c>
      <c r="E7">
        <f>=tlb_rate*E6</f>
      </c>
      <c r="F7">
        <f>=tlb_rate*F6</f>
      </c>
      <c r="G7">
        <f>=tlb_rate*G6</f>
      </c>
    </row>
    <row r="8">
      <c r="B8" t="inlineStr">
        <is>
          <t>  Mandatory amortisation</t>
        </is>
      </c>
      <c r="C8">
        <f>=MIN(tlb_amort_pct*Sources_Uses!$C$17,C6)</f>
      </c>
      <c r="D8">
        <f>=MIN(tlb_amort_pct*Sources_Uses!$C$17,D6)</f>
      </c>
      <c r="E8">
        <f>=MIN(tlb_amort_pct*Sources_Uses!$C$17,E6)</f>
      </c>
      <c r="F8">
        <f>=MIN(tlb_amort_pct*Sources_Uses!$C$17,F6)</f>
      </c>
      <c r="G8">
        <f>=MIN(tlb_amort_pct*Sources_Uses!$C$17,G6)</f>
      </c>
    </row>
    <row r="9">
      <c r="B9" t="inlineStr">
        <is>
          <t>  Cash sweep</t>
        </is>
      </c>
      <c r="C9">
        <f>=MIN(cash_sweep_pct*MAX(0,C35-C8),C6-C8)</f>
      </c>
      <c r="D9">
        <f>=MIN(cash_sweep_pct*MAX(0,D35-D8),D6-D8)</f>
      </c>
      <c r="E9">
        <f>=MIN(cash_sweep_pct*MAX(0,E35-E8),E6-E8)</f>
      </c>
      <c r="F9">
        <f>=MIN(cash_sweep_pct*MAX(0,F35-F8),F6-F8)</f>
      </c>
      <c r="G9">
        <f>=MIN(cash_sweep_pct*MAX(0,G35-G8),G6-G8)</f>
      </c>
    </row>
    <row r="10">
      <c r="B10" t="inlineStr">
        <is>
          <t>  Ending</t>
        </is>
      </c>
      <c r="C10">
        <f>=C6-C8-C9</f>
      </c>
      <c r="D10">
        <f>=D6-D8-D9</f>
      </c>
      <c r="E10">
        <f>=E6-E8-E9</f>
      </c>
      <c r="F10">
        <f>=F6-F8-F9</f>
      </c>
      <c r="G10">
        <f>=G6-G8-G9</f>
      </c>
    </row>
    <row r="12">
      <c r="B12" t="inlineStr">
        <is>
          <t>Mezzanine</t>
        </is>
      </c>
    </row>
    <row r="13">
      <c r="B13">
        <f>=Sources_Uses!C18</f>
      </c>
      <c r="C13">
        <f>=B13</f>
      </c>
      <c r="D13">
        <f>=C16</f>
      </c>
      <c r="E13">
        <f>=D16</f>
      </c>
      <c r="F13">
        <f>=E16</f>
      </c>
      <c r="G13">
        <f>=F16</f>
      </c>
    </row>
    <row r="14">
      <c r="B14" t="inlineStr">
        <is>
          <t>  Cash interest</t>
        </is>
      </c>
      <c r="C14">
        <f>=mezz_cash_rate*C13</f>
      </c>
      <c r="D14">
        <f>=mezz_cash_rate*D13</f>
      </c>
      <c r="E14">
        <f>=mezz_cash_rate*E13</f>
      </c>
      <c r="F14">
        <f>=mezz_cash_rate*F13</f>
      </c>
      <c r="G14">
        <f>=mezz_cash_rate*G13</f>
      </c>
    </row>
    <row r="15">
      <c r="B15" t="inlineStr">
        <is>
          <t>  PIK accrual</t>
        </is>
      </c>
      <c r="C15">
        <f>=C13*mezz_pik_rate</f>
      </c>
      <c r="D15">
        <f>=D13*mezz_pik_rate</f>
      </c>
      <c r="E15">
        <f>=E13*mezz_pik_rate</f>
      </c>
      <c r="F15">
        <f>=F13*mezz_pik_rate</f>
      </c>
      <c r="G15">
        <f>=G13*mezz_pik_rate</f>
      </c>
    </row>
    <row r="16">
      <c r="B16" t="inlineStr">
        <is>
          <t>  Ending</t>
        </is>
      </c>
      <c r="C16">
        <f>=C13+C15</f>
      </c>
      <c r="D16">
        <f>=D13+D15</f>
      </c>
      <c r="E16">
        <f>=E13+E15</f>
      </c>
      <c r="F16">
        <f>=F13+F15</f>
      </c>
      <c r="G16">
        <f>=G13+G15</f>
      </c>
    </row>
    <row r="18">
      <c r="B18" t="inlineStr">
        <is>
          <t>Revolver</t>
        </is>
      </c>
    </row>
    <row r="19">
      <c r="B19">
        <v>0.0</v>
      </c>
      <c r="C19">
        <f>=B19</f>
      </c>
      <c r="D19">
        <f>=C25</f>
      </c>
      <c r="E19">
        <f>=D25</f>
      </c>
      <c r="F19">
        <f>=E25</f>
      </c>
      <c r="G19">
        <f>=F25</f>
      </c>
    </row>
    <row r="20">
      <c r="B20" t="inlineStr">
        <is>
          <t>  Interest</t>
        </is>
      </c>
      <c r="C20">
        <f>=revolver_rate*C19</f>
      </c>
      <c r="D20">
        <f>=revolver_rate*D19</f>
      </c>
      <c r="E20">
        <f>=revolver_rate*E19</f>
      </c>
      <c r="F20">
        <f>=revolver_rate*F19</f>
      </c>
      <c r="G20">
        <f>=revolver_rate*G19</f>
      </c>
    </row>
    <row r="21">
      <c r="B21" t="inlineStr">
        <is>
          <t>  Commitment fee (undrawn)</t>
        </is>
      </c>
      <c r="C21">
        <f>=commitment_fee*MAX(0,revolver_capacity-C19)</f>
      </c>
      <c r="D21">
        <f>=commitment_fee*MAX(0,revolver_capacity-D19)</f>
      </c>
      <c r="E21">
        <f>=commitment_fee*MAX(0,revolver_capacity-E19)</f>
      </c>
      <c r="F21">
        <f>=commitment_fee*MAX(0,revolver_capacity-F19)</f>
      </c>
      <c r="G21">
        <f>=commitment_fee*MAX(0,revolver_capacity-G19)</f>
      </c>
    </row>
    <row r="22">
      <c r="B22" t="inlineStr">
        <is>
          <t>  Repayment</t>
        </is>
      </c>
      <c r="C22">
        <f>=MIN(C19,MAX(0,C35))</f>
      </c>
      <c r="D22">
        <f>=MIN(D19,MAX(0,D35))</f>
      </c>
      <c r="E22">
        <f>=MIN(E19,MAX(0,E35))</f>
      </c>
      <c r="F22">
        <f>=MIN(F19,MAX(0,F35))</f>
      </c>
      <c r="G22">
        <f>=MIN(G19,MAX(0,G35))</f>
      </c>
    </row>
    <row r="23">
      <c r="B23" t="inlineStr">
        <is>
          <t>  Draw (deficit)</t>
        </is>
      </c>
      <c r="C23">
        <f>=MIN(MAX(0,revolver_capacity-C19),MAX(0,-C35))</f>
      </c>
      <c r="D23">
        <f>=MIN(MAX(0,revolver_capacity-D19),MAX(0,-D35))</f>
      </c>
      <c r="E23">
        <f>=MIN(MAX(0,revolver_capacity-E19),MAX(0,-E35))</f>
      </c>
      <c r="F23">
        <f>=MIN(MAX(0,revolver_capacity-F19),MAX(0,-F35))</f>
      </c>
      <c r="G23">
        <f>=MIN(MAX(0,revolver_capacity-G19),MAX(0,-G35))</f>
      </c>
    </row>
    <row r="24">
      <c r="B24" t="inlineStr">
        <is>
          <t>  Draw (top-up after amort)</t>
        </is>
      </c>
      <c r="C24">
        <f>=MIN(MAX(0,revolver_capacity-(C19+C23)),MAX(0,-(C35-C22+C23-C8)))</f>
      </c>
      <c r="D24">
        <f>=MIN(MAX(0,revolver_capacity-(D19+D23)),MAX(0,-(D35-D22+D23-D8)))</f>
      </c>
      <c r="E24">
        <f>=MIN(MAX(0,revolver_capacity-(E19+E23)),MAX(0,-(E35-E22+E23-E8)))</f>
      </c>
      <c r="F24">
        <f>=MIN(MAX(0,revolver_capacity-(F19+F23)),MAX(0,-(F35-F22+F23-F8)))</f>
      </c>
      <c r="G24">
        <f>=MIN(MAX(0,revolver_capacity-(G19+G23)),MAX(0,-(G35-G22+G23-G8)))</f>
      </c>
    </row>
    <row r="25">
      <c r="B25" t="inlineStr">
        <is>
          <t>  Ending</t>
        </is>
      </c>
      <c r="C25">
        <f>=C19+C23+C24-C22</f>
      </c>
      <c r="D25">
        <f>=D19+D23+D24-D22</f>
      </c>
      <c r="E25">
        <f>=E19+E23+E24-E22</f>
      </c>
      <c r="F25">
        <f>=F19+F23+F24-F22</f>
      </c>
      <c r="G25">
        <f>=G19+G23+G24-G22</f>
      </c>
    </row>
    <row r="27">
      <c r="B27" t="inlineStr">
        <is>
          <t>Cash flow</t>
        </is>
      </c>
    </row>
    <row r="28">
      <c r="B28" t="inlineStr">
        <is>
          <t>  Total cash interest</t>
        </is>
      </c>
      <c r="C28">
        <f>=C7+C14+C20+C21</f>
      </c>
      <c r="D28">
        <f>=D7+D14+D20+D21</f>
      </c>
      <c r="E28">
        <f>=E7+E14+E20+E21</f>
      </c>
      <c r="F28">
        <f>=F7+F14+F20+F21</f>
      </c>
      <c r="G28">
        <f>=G7+G14+G20+G21</f>
      </c>
    </row>
    <row r="29">
      <c r="B29" t="inlineStr">
        <is>
          <t>  EBT</t>
        </is>
      </c>
      <c r="C29">
        <f>=C2-C3-C28</f>
      </c>
      <c r="D29">
        <f>=D2-D3-D28</f>
      </c>
      <c r="E29">
        <f>=E2-E3-E28</f>
      </c>
      <c r="F29">
        <f>=F2-F3-F28</f>
      </c>
      <c r="G29">
        <f>=G2-G3-G28</f>
      </c>
    </row>
    <row r="30">
      <c r="B30" t="inlineStr">
        <is>
          <t>  Taxes</t>
        </is>
      </c>
      <c r="C30">
        <f>=MAX(0,C29*tax_rate)</f>
      </c>
      <c r="D30">
        <f>=MAX(0,D29*tax_rate)</f>
      </c>
      <c r="E30">
        <f>=MAX(0,E29*tax_rate)</f>
      </c>
      <c r="F30">
        <f>=MAX(0,F29*tax_rate)</f>
      </c>
      <c r="G30">
        <f>=MAX(0,G29*tax_rate)</f>
      </c>
    </row>
    <row r="31">
      <c r="B31" t="inlineStr">
        <is>
          <t>  Net income</t>
        </is>
      </c>
      <c r="C31">
        <f>=C29-C30</f>
      </c>
      <c r="D31">
        <f>=D29-D30</f>
      </c>
      <c r="E31">
        <f>=E29-E30</f>
      </c>
      <c r="F31">
        <f>=F29-F30</f>
      </c>
      <c r="G31">
        <f>=G29-G30</f>
      </c>
    </row>
    <row r="35">
      <c r="B35" t="inlineStr">
        <is>
          <t>  CFADR</t>
        </is>
      </c>
      <c r="C35">
        <f>=C31+C3-Operating_Model!C24-Operating_Model!C25</f>
      </c>
      <c r="D35">
        <f>=D31+D3-Operating_Model!D24-Operating_Model!D25</f>
      </c>
      <c r="E35">
        <f>=E31+E3-Operating_Model!E24-Operating_Model!E25</f>
      </c>
      <c r="F35">
        <f>=F31+F3-Operating_Model!F24-Operating_Model!F25</f>
      </c>
      <c r="G35">
        <f>=G31+G3-Operating_Model!G24-Operating_Model!G25</f>
      </c>
    </row>
    <row r="36">
      <c r="B36" t="inlineStr">
        <is>
          <t>  Residual (post revolver + amort)</t>
        </is>
      </c>
      <c r="C36">
        <f>=C35-C22+C23+C24-C8</f>
      </c>
      <c r="D36">
        <f>=D35-D22+D23+D24-D8</f>
      </c>
      <c r="E36">
        <f>=E35-E22+E23+E24-E8</f>
      </c>
      <c r="F36">
        <f>=F35-F22+F23+F24-F8</f>
      </c>
      <c r="G36">
        <f>=G35-G22+G23+G24-G8</f>
      </c>
    </row>
    <row r="38">
      <c r="B38" t="inlineStr">
        <is>
          <t>  Retained to cash</t>
        </is>
      </c>
      <c r="C38">
        <f>=C36-C9</f>
      </c>
      <c r="D38">
        <f>=D36-D9</f>
      </c>
      <c r="E38">
        <f>=E36-E9</f>
      </c>
      <c r="F38">
        <f>=F36-F9</f>
      </c>
      <c r="G38">
        <f>=G36-G9</f>
      </c>
    </row>
    <row r="40">
      <c r="B40">
        <f>=min_cash</f>
      </c>
      <c r="C40">
        <f>=B40</f>
      </c>
      <c r="D40">
        <f>=C41</f>
      </c>
      <c r="E40">
        <f>=D41</f>
      </c>
      <c r="F40">
        <f>=E41</f>
      </c>
      <c r="G40">
        <f>=F41</f>
      </c>
    </row>
    <row r="41">
      <c r="B41" t="inlineStr">
        <is>
          <t>Cash — ending</t>
        </is>
      </c>
      <c r="C41">
        <f>=C40+C38</f>
      </c>
      <c r="D41">
        <f>=D40+D38</f>
      </c>
      <c r="E41">
        <f>=E40+E38</f>
      </c>
      <c r="F41">
        <f>=F40+F38</f>
      </c>
      <c r="G41">
        <f>=G40+G38</f>
      </c>
    </row>
    <row r="43">
      <c r="B43" t="inlineStr">
        <is>
          <t>Credit stats</t>
        </is>
      </c>
    </row>
    <row r="44">
      <c r="B44" t="inlineStr">
        <is>
          <t>  Net debt</t>
        </is>
      </c>
      <c r="C44">
        <f>=C10+C16+C25-C41</f>
      </c>
      <c r="D44">
        <f>=D10+D16+D25-D41</f>
      </c>
      <c r="E44">
        <f>=E10+E16+E25-E41</f>
      </c>
      <c r="F44">
        <f>=F10+F16+F25-F41</f>
      </c>
      <c r="G44">
        <f>=G10+G16+G25-G41</f>
      </c>
    </row>
    <row r="45">
      <c r="B45" t="inlineStr">
        <is>
          <t>  Leverage (x)</t>
        </is>
      </c>
      <c r="C45">
        <f>=C44/C2</f>
      </c>
      <c r="D45">
        <f>=D44/D2</f>
      </c>
      <c r="E45">
        <f>=E44/E2</f>
      </c>
      <c r="F45">
        <f>=F44/F2</f>
      </c>
      <c r="G45">
        <f>=G44/G2</f>
      </c>
    </row>
    <row r="46">
      <c r="B46" t="inlineStr">
        <is>
          <t>  Coverage (x)</t>
        </is>
      </c>
      <c r="C46">
        <f>=C2/C28</f>
      </c>
      <c r="D46">
        <f>=D2/D28</f>
      </c>
      <c r="E46">
        <f>=E2/E28</f>
      </c>
      <c r="F46">
        <f>=F2/F28</f>
      </c>
      <c r="G46">
        <f>=G2/G28</f>
      </c>
    </row>
  </sheetData>
</worksheet>
</file>

<file path=xl/worksheets/sheet5.xml><?xml version="1.0" encoding="utf-8"?>
<worksheet xmlns="http://schemas.openxmlformats.org/spreadsheetml/2006/main">
  <sheetData>
    <row r="2">
      <c r="A2" t="inlineStr">
        <is>
          <t>Debt schedule (EUR m) — average-balance interest (ITERATIVE/CIRCULAR)</t>
        </is>
      </c>
      <c r="B2" t="inlineStr">
        <is>
          <t>At close</t>
        </is>
      </c>
      <c r="C2">
        <f>=Operating_Model!C19</f>
      </c>
      <c r="D2">
        <f>=Operating_Model!D19</f>
      </c>
      <c r="E2">
        <f>=Operating_Model!E19</f>
      </c>
      <c r="F2">
        <f>=Operating_Model!F19</f>
      </c>
      <c r="G2">
        <f>=Operating_Model!G19</f>
      </c>
    </row>
    <row r="3">
      <c r="C3">
        <f>=Operating_Model!C21</f>
      </c>
      <c r="D3">
        <f>=Operating_Model!D21</f>
      </c>
      <c r="E3">
        <f>=Operating_Model!E21</f>
      </c>
      <c r="F3">
        <f>=Operating_Model!F21</f>
      </c>
      <c r="G3">
        <f>=Operating_Model!G21</f>
      </c>
    </row>
    <row r="5">
      <c r="B5" t="inlineStr">
        <is>
          <t>Term loan B</t>
        </is>
      </c>
    </row>
    <row r="6">
      <c r="B6">
        <f>=Sources_Uses!C17</f>
      </c>
      <c r="C6">
        <f>=B6</f>
      </c>
      <c r="D6">
        <f>=C10</f>
      </c>
      <c r="E6">
        <f>=D10</f>
      </c>
      <c r="F6">
        <f>=E10</f>
      </c>
      <c r="G6">
        <f>=F10</f>
      </c>
    </row>
    <row r="7">
      <c r="B7" t="inlineStr">
        <is>
          <t>  Interest</t>
        </is>
      </c>
      <c r="C7">
        <f>=tlb_rate*(C6+C10)/2</f>
      </c>
      <c r="D7">
        <f>=tlb_rate*(D6+D10)/2</f>
      </c>
      <c r="E7">
        <f>=tlb_rate*(E6+E10)/2</f>
      </c>
      <c r="F7">
        <f>=tlb_rate*(F6+F10)/2</f>
      </c>
      <c r="G7">
        <f>=tlb_rate*(G6+G10)/2</f>
      </c>
    </row>
    <row r="8">
      <c r="B8" t="inlineStr">
        <is>
          <t>  Mandatory amortisation</t>
        </is>
      </c>
      <c r="C8">
        <f>=MIN(tlb_amort_pct*Sources_Uses!$C$17,C6)</f>
      </c>
      <c r="D8">
        <f>=MIN(tlb_amort_pct*Sources_Uses!$C$17,D6)</f>
      </c>
      <c r="E8">
        <f>=MIN(tlb_amort_pct*Sources_Uses!$C$17,E6)</f>
      </c>
      <c r="F8">
        <f>=MIN(tlb_amort_pct*Sources_Uses!$C$17,F6)</f>
      </c>
      <c r="G8">
        <f>=MIN(tlb_amort_pct*Sources_Uses!$C$17,G6)</f>
      </c>
    </row>
    <row r="9">
      <c r="B9" t="inlineStr">
        <is>
          <t>  Cash sweep</t>
        </is>
      </c>
      <c r="C9">
        <f>=MIN(cash_sweep_pct*MAX(0,C35-C8),C6-C8)</f>
      </c>
      <c r="D9">
        <f>=MIN(cash_sweep_pct*MAX(0,D35-D8),D6-D8)</f>
      </c>
      <c r="E9">
        <f>=MIN(cash_sweep_pct*MAX(0,E35-E8),E6-E8)</f>
      </c>
      <c r="F9">
        <f>=MIN(cash_sweep_pct*MAX(0,F35-F8),F6-F8)</f>
      </c>
      <c r="G9">
        <f>=MIN(cash_sweep_pct*MAX(0,G35-G8),G6-G8)</f>
      </c>
    </row>
    <row r="10">
      <c r="B10" t="inlineStr">
        <is>
          <t>  Ending</t>
        </is>
      </c>
      <c r="C10">
        <f>=C6-C8-C9</f>
      </c>
      <c r="D10">
        <f>=D6-D8-D9</f>
      </c>
      <c r="E10">
        <f>=E6-E8-E9</f>
      </c>
      <c r="F10">
        <f>=F6-F8-F9</f>
      </c>
      <c r="G10">
        <f>=G6-G8-G9</f>
      </c>
    </row>
    <row r="12">
      <c r="B12" t="inlineStr">
        <is>
          <t>Mezzanine</t>
        </is>
      </c>
    </row>
    <row r="13">
      <c r="B13">
        <f>=Sources_Uses!C18</f>
      </c>
      <c r="C13">
        <f>=B13</f>
      </c>
      <c r="D13">
        <f>=C16</f>
      </c>
      <c r="E13">
        <f>=D16</f>
      </c>
      <c r="F13">
        <f>=E16</f>
      </c>
      <c r="G13">
        <f>=F16</f>
      </c>
    </row>
    <row r="14">
      <c r="B14" t="inlineStr">
        <is>
          <t>  Cash interest</t>
        </is>
      </c>
      <c r="C14">
        <f>=mezz_cash_rate*(C13+C16)/2</f>
      </c>
      <c r="D14">
        <f>=mezz_cash_rate*(D13+D16)/2</f>
      </c>
      <c r="E14">
        <f>=mezz_cash_rate*(E13+E16)/2</f>
      </c>
      <c r="F14">
        <f>=mezz_cash_rate*(F13+F16)/2</f>
      </c>
      <c r="G14">
        <f>=mezz_cash_rate*(G13+G16)/2</f>
      </c>
    </row>
    <row r="15">
      <c r="B15" t="inlineStr">
        <is>
          <t>  PIK accrual</t>
        </is>
      </c>
      <c r="C15">
        <f>=C13*mezz_pik_rate</f>
      </c>
      <c r="D15">
        <f>=D13*mezz_pik_rate</f>
      </c>
      <c r="E15">
        <f>=E13*mezz_pik_rate</f>
      </c>
      <c r="F15">
        <f>=F13*mezz_pik_rate</f>
      </c>
      <c r="G15">
        <f>=G13*mezz_pik_rate</f>
      </c>
    </row>
    <row r="16">
      <c r="B16" t="inlineStr">
        <is>
          <t>  Ending</t>
        </is>
      </c>
      <c r="C16">
        <f>=C13+C15</f>
      </c>
      <c r="D16">
        <f>=D13+D15</f>
      </c>
      <c r="E16">
        <f>=E13+E15</f>
      </c>
      <c r="F16">
        <f>=F13+F15</f>
      </c>
      <c r="G16">
        <f>=G13+G15</f>
      </c>
    </row>
    <row r="18">
      <c r="B18" t="inlineStr">
        <is>
          <t>Revolver</t>
        </is>
      </c>
    </row>
    <row r="19">
      <c r="B19">
        <v>0.0</v>
      </c>
      <c r="C19">
        <f>=B19</f>
      </c>
      <c r="D19">
        <f>=C25</f>
      </c>
      <c r="E19">
        <f>=D25</f>
      </c>
      <c r="F19">
        <f>=E25</f>
      </c>
      <c r="G19">
        <f>=F25</f>
      </c>
    </row>
    <row r="20">
      <c r="B20" t="inlineStr">
        <is>
          <t>  Interest</t>
        </is>
      </c>
      <c r="C20">
        <f>=revolver_rate*(C19+C25)/2</f>
      </c>
      <c r="D20">
        <f>=revolver_rate*(D19+D25)/2</f>
      </c>
      <c r="E20">
        <f>=revolver_rate*(E19+E25)/2</f>
      </c>
      <c r="F20">
        <f>=revolver_rate*(F19+F25)/2</f>
      </c>
      <c r="G20">
        <f>=revolver_rate*(G19+G25)/2</f>
      </c>
    </row>
    <row r="21">
      <c r="B21" t="inlineStr">
        <is>
          <t>  Commitment fee (undrawn)</t>
        </is>
      </c>
      <c r="C21">
        <f>=commitment_fee*MAX(0,(revolver_capacity-C19+revolver_capacity-C25)/2)</f>
      </c>
      <c r="D21">
        <f>=commitment_fee*MAX(0,(revolver_capacity-D19+revolver_capacity-D25)/2)</f>
      </c>
      <c r="E21">
        <f>=commitment_fee*MAX(0,(revolver_capacity-E19+revolver_capacity-E25)/2)</f>
      </c>
      <c r="F21">
        <f>=commitment_fee*MAX(0,(revolver_capacity-F19+revolver_capacity-F25)/2)</f>
      </c>
      <c r="G21">
        <f>=commitment_fee*MAX(0,(revolver_capacity-G19+revolver_capacity-G25)/2)</f>
      </c>
    </row>
    <row r="22">
      <c r="B22" t="inlineStr">
        <is>
          <t>  Repayment</t>
        </is>
      </c>
      <c r="C22">
        <f>=MIN(C19,MAX(0,C35))</f>
      </c>
      <c r="D22">
        <f>=MIN(D19,MAX(0,D35))</f>
      </c>
      <c r="E22">
        <f>=MIN(E19,MAX(0,E35))</f>
      </c>
      <c r="F22">
        <f>=MIN(F19,MAX(0,F35))</f>
      </c>
      <c r="G22">
        <f>=MIN(G19,MAX(0,G35))</f>
      </c>
    </row>
    <row r="23">
      <c r="B23" t="inlineStr">
        <is>
          <t>  Draw (deficit)</t>
        </is>
      </c>
      <c r="C23">
        <f>=MIN(MAX(0,revolver_capacity-C19),MAX(0,-C35))</f>
      </c>
      <c r="D23">
        <f>=MIN(MAX(0,revolver_capacity-D19),MAX(0,-D35))</f>
      </c>
      <c r="E23">
        <f>=MIN(MAX(0,revolver_capacity-E19),MAX(0,-E35))</f>
      </c>
      <c r="F23">
        <f>=MIN(MAX(0,revolver_capacity-F19),MAX(0,-F35))</f>
      </c>
      <c r="G23">
        <f>=MIN(MAX(0,revolver_capacity-G19),MAX(0,-G35))</f>
      </c>
    </row>
    <row r="24">
      <c r="B24" t="inlineStr">
        <is>
          <t>  Draw (top-up after amort)</t>
        </is>
      </c>
      <c r="C24">
        <f>=MIN(MAX(0,revolver_capacity-(C19+C23)),MAX(0,-(C35-C22+C23-C8)))</f>
      </c>
      <c r="D24">
        <f>=MIN(MAX(0,revolver_capacity-(D19+D23)),MAX(0,-(D35-D22+D23-D8)))</f>
      </c>
      <c r="E24">
        <f>=MIN(MAX(0,revolver_capacity-(E19+E23)),MAX(0,-(E35-E22+E23-E8)))</f>
      </c>
      <c r="F24">
        <f>=MIN(MAX(0,revolver_capacity-(F19+F23)),MAX(0,-(F35-F22+F23-F8)))</f>
      </c>
      <c r="G24">
        <f>=MIN(MAX(0,revolver_capacity-(G19+G23)),MAX(0,-(G35-G22+G23-G8)))</f>
      </c>
    </row>
    <row r="25">
      <c r="B25" t="inlineStr">
        <is>
          <t>  Ending</t>
        </is>
      </c>
      <c r="C25">
        <f>=C19+C23+C24-C22</f>
      </c>
      <c r="D25">
        <f>=D19+D23+D24-D22</f>
      </c>
      <c r="E25">
        <f>=E19+E23+E24-E22</f>
      </c>
      <c r="F25">
        <f>=F19+F23+F24-F22</f>
      </c>
      <c r="G25">
        <f>=G19+G23+G24-G22</f>
      </c>
    </row>
    <row r="27">
      <c r="B27" t="inlineStr">
        <is>
          <t>Cash flow</t>
        </is>
      </c>
    </row>
    <row r="28">
      <c r="B28" t="inlineStr">
        <is>
          <t>  Total cash interest</t>
        </is>
      </c>
      <c r="C28">
        <f>=C7+C14+C20+C21</f>
      </c>
      <c r="D28">
        <f>=D7+D14+D20+D21</f>
      </c>
      <c r="E28">
        <f>=E7+E14+E20+E21</f>
      </c>
      <c r="F28">
        <f>=F7+F14+F20+F21</f>
      </c>
      <c r="G28">
        <f>=G7+G14+G20+G21</f>
      </c>
    </row>
    <row r="29">
      <c r="B29" t="inlineStr">
        <is>
          <t>  EBT</t>
        </is>
      </c>
      <c r="C29">
        <f>=C2-C3-C28</f>
      </c>
      <c r="D29">
        <f>=D2-D3-D28</f>
      </c>
      <c r="E29">
        <f>=E2-E3-E28</f>
      </c>
      <c r="F29">
        <f>=F2-F3-F28</f>
      </c>
      <c r="G29">
        <f>=G2-G3-G28</f>
      </c>
    </row>
    <row r="30">
      <c r="B30" t="inlineStr">
        <is>
          <t>  Taxes</t>
        </is>
      </c>
      <c r="C30">
        <f>=MAX(0,C29*tax_rate)</f>
      </c>
      <c r="D30">
        <f>=MAX(0,D29*tax_rate)</f>
      </c>
      <c r="E30">
        <f>=MAX(0,E29*tax_rate)</f>
      </c>
      <c r="F30">
        <f>=MAX(0,F29*tax_rate)</f>
      </c>
      <c r="G30">
        <f>=MAX(0,G29*tax_rate)</f>
      </c>
    </row>
    <row r="31">
      <c r="B31" t="inlineStr">
        <is>
          <t>  Net income</t>
        </is>
      </c>
      <c r="C31">
        <f>=C29-C30</f>
      </c>
      <c r="D31">
        <f>=D29-D30</f>
      </c>
      <c r="E31">
        <f>=E29-E30</f>
      </c>
      <c r="F31">
        <f>=F29-F30</f>
      </c>
      <c r="G31">
        <f>=G29-G30</f>
      </c>
    </row>
    <row r="35">
      <c r="B35" t="inlineStr">
        <is>
          <t>  CFADR</t>
        </is>
      </c>
      <c r="C35">
        <f>=C31+C3-Operating_Model!C24-Operating_Model!C25</f>
      </c>
      <c r="D35">
        <f>=D31+D3-Operating_Model!D24-Operating_Model!D25</f>
      </c>
      <c r="E35">
        <f>=E31+E3-Operating_Model!E24-Operating_Model!E25</f>
      </c>
      <c r="F35">
        <f>=F31+F3-Operating_Model!F24-Operating_Model!F25</f>
      </c>
      <c r="G35">
        <f>=G31+G3-Operating_Model!G24-Operating_Model!G25</f>
      </c>
    </row>
    <row r="36">
      <c r="B36" t="inlineStr">
        <is>
          <t>  Residual (post revolver + amort)</t>
        </is>
      </c>
      <c r="C36">
        <f>=C35-C22+C23+C24-C8</f>
      </c>
      <c r="D36">
        <f>=D35-D22+D23+D24-D8</f>
      </c>
      <c r="E36">
        <f>=E35-E22+E23+E24-E8</f>
      </c>
      <c r="F36">
        <f>=F35-F22+F23+F24-F8</f>
      </c>
      <c r="G36">
        <f>=G35-G22+G23+G24-G8</f>
      </c>
    </row>
    <row r="38">
      <c r="B38" t="inlineStr">
        <is>
          <t>  Retained to cash</t>
        </is>
      </c>
      <c r="C38">
        <f>=C36-C9</f>
      </c>
      <c r="D38">
        <f>=D36-D9</f>
      </c>
      <c r="E38">
        <f>=E36-E9</f>
      </c>
      <c r="F38">
        <f>=F36-F9</f>
      </c>
      <c r="G38">
        <f>=G36-G9</f>
      </c>
    </row>
    <row r="40">
      <c r="B40">
        <f>=min_cash</f>
      </c>
      <c r="C40">
        <f>=B40</f>
      </c>
      <c r="D40">
        <f>=C41</f>
      </c>
      <c r="E40">
        <f>=D41</f>
      </c>
      <c r="F40">
        <f>=E41</f>
      </c>
      <c r="G40">
        <f>=F41</f>
      </c>
    </row>
    <row r="41">
      <c r="B41" t="inlineStr">
        <is>
          <t>Cash — ending</t>
        </is>
      </c>
      <c r="C41">
        <f>=C40+C38</f>
      </c>
      <c r="D41">
        <f>=D40+D38</f>
      </c>
      <c r="E41">
        <f>=E40+E38</f>
      </c>
      <c r="F41">
        <f>=F40+F38</f>
      </c>
      <c r="G41">
        <f>=G40+G38</f>
      </c>
    </row>
    <row r="43">
      <c r="B43" t="inlineStr">
        <is>
          <t>Credit stats</t>
        </is>
      </c>
    </row>
    <row r="44">
      <c r="B44" t="inlineStr">
        <is>
          <t>  Net debt</t>
        </is>
      </c>
      <c r="C44">
        <f>=C10+C16+C25-C41</f>
      </c>
      <c r="D44">
        <f>=D10+D16+D25-D41</f>
      </c>
      <c r="E44">
        <f>=E10+E16+E25-E41</f>
      </c>
      <c r="F44">
        <f>=F10+F16+F25-F41</f>
      </c>
      <c r="G44">
        <f>=G10+G16+G25-G41</f>
      </c>
    </row>
    <row r="45">
      <c r="B45" t="inlineStr">
        <is>
          <t>  Leverage (x)</t>
        </is>
      </c>
      <c r="C45">
        <f>=C44/C2</f>
      </c>
      <c r="D45">
        <f>=D44/D2</f>
      </c>
      <c r="E45">
        <f>=E44/E2</f>
      </c>
      <c r="F45">
        <f>=F44/F2</f>
      </c>
      <c r="G45">
        <f>=G44/G2</f>
      </c>
    </row>
    <row r="46">
      <c r="B46" t="inlineStr">
        <is>
          <t>  Coverage (x)</t>
        </is>
      </c>
      <c r="C46">
        <f>=C2/C28</f>
      </c>
      <c r="D46">
        <f>=D2/D28</f>
      </c>
      <c r="E46">
        <f>=E2/E28</f>
      </c>
      <c r="F46">
        <f>=F2/F28</f>
      </c>
      <c r="G46">
        <f>=G2/G28</f>
      </c>
    </row>
  </sheetData>
</worksheet>
</file>

<file path=xl/worksheets/sheet6.xml><?xml version="1.0" encoding="utf-8"?>
<worksheet xmlns="http://schemas.openxmlformats.org/spreadsheetml/2006/main">
  <sheetData>
    <row r="2">
      <c r="A2" t="inlineStr">
        <is>
          <t>Sensitivity engine: full model re-run per TLB leverage case (no data table)</t>
        </is>
      </c>
    </row>
    <row r="4">
      <c r="B4" t="inlineStr">
        <is>
          <t>Leverage case 4.0x TLB</t>
        </is>
      </c>
    </row>
    <row r="5">
      <c r="B5">
        <v>4.0</v>
      </c>
      <c r="C5" t="inlineStr">
        <is>
          <t>TLB at close</t>
        </is>
      </c>
    </row>
    <row r="6">
      <c r="B6">
        <f>=(Sources_Uses!$C$10+Sources_Uses!$C$11+Sources_Uses!$C$12+fin_fee_pct*(B5+Sources_Uses!$C$18))-B5-Sources_Uses!$C$18-Sources_Uses!$C$19</f>
      </c>
      <c r="C6" t="inlineStr">
        <is>
          <t>Sponsor equity</t>
        </is>
      </c>
    </row>
    <row r="7">
      <c r="B7" t="inlineStr">
        <is>
          <t>year →</t>
        </is>
      </c>
      <c r="C7" t="inlineStr">
        <is>
          <t>FY2027</t>
        </is>
      </c>
      <c r="D7" t="inlineStr">
        <is>
          <t>FY2028</t>
        </is>
      </c>
      <c r="E7" t="inlineStr">
        <is>
          <t>FY2029</t>
        </is>
      </c>
      <c r="F7" t="inlineStr">
        <is>
          <t>FY2030</t>
        </is>
      </c>
      <c r="G7" t="inlineStr">
        <is>
          <t>FY2031</t>
        </is>
      </c>
    </row>
    <row r="8">
      <c r="B8" t="inlineStr">
        <is>
          <t>  TLB beginning</t>
        </is>
      </c>
      <c r="C8">
        <f>=$B$5</f>
      </c>
      <c r="D8">
        <f>=C14</f>
      </c>
      <c r="E8">
        <f>=D14</f>
      </c>
      <c r="F8">
        <f>=E14</f>
      </c>
      <c r="G8">
        <f>=F14</f>
      </c>
    </row>
    <row r="9">
      <c r="B9" t="inlineStr">
        <is>
          <t>  Cash interest</t>
        </is>
      </c>
      <c r="C9">
        <f>=tlb_rate*C8+mezz_cash_rate*Sources_Uses!$C$18+commitment_fee*revolver_capacity</f>
      </c>
      <c r="D9">
        <f>=tlb_rate*D8+mezz_cash_rate*Sources_Uses!$C$18+commitment_fee*revolver_capacity</f>
      </c>
      <c r="E9">
        <f>=tlb_rate*E8+mezz_cash_rate*Sources_Uses!$C$18+commitment_fee*revolver_capacity</f>
      </c>
      <c r="F9">
        <f>=tlb_rate*F8+mezz_cash_rate*Sources_Uses!$C$18+commitment_fee*revolver_capacity</f>
      </c>
      <c r="G9">
        <f>=tlb_rate*G8+mezz_cash_rate*Sources_Uses!$C$18+commitment_fee*revolver_capacity</f>
      </c>
    </row>
    <row r="10">
      <c r="B10" t="inlineStr">
        <is>
          <t>  CFADR</t>
        </is>
      </c>
      <c r="C10">
        <f>=(Operating_Model!C$19-Operating_Model!C$21-C9)*(1-tax_rate)+Operating_Model!C$21-Operating_Model!C$24-Operating_Model!C$25</f>
      </c>
      <c r="D10">
        <f>=(Operating_Model!D$19-Operating_Model!D$21-D9)*(1-tax_rate)+Operating_Model!D$21-Operating_Model!D$24-Operating_Model!D$25</f>
      </c>
      <c r="E10">
        <f>=(Operating_Model!E$19-Operating_Model!E$21-E9)*(1-tax_rate)+Operating_Model!E$21-Operating_Model!E$24-Operating_Model!E$25</f>
      </c>
      <c r="F10">
        <f>=(Operating_Model!F$19-Operating_Model!F$21-F9)*(1-tax_rate)+Operating_Model!F$21-Operating_Model!F$24-Operating_Model!F$25</f>
      </c>
      <c r="G10">
        <f>=(Operating_Model!G$19-Operating_Model!G$21-G9)*(1-tax_rate)+Operating_Model!G$21-Operating_Model!G$24-Operating_Model!G$25</f>
      </c>
    </row>
    <row r="11">
      <c r="B11" t="inlineStr">
        <is>
          <t>  Mandatory</t>
        </is>
      </c>
      <c r="C11">
        <f>=MIN(tlb_amort_pct*$B$5,C8)</f>
      </c>
      <c r="D11">
        <f>=MIN(tlb_amort_pct*$B$5,D8)</f>
      </c>
      <c r="E11">
        <f>=MIN(tlb_amort_pct*$B$5,E8)</f>
      </c>
      <c r="F11">
        <f>=MIN(tlb_amort_pct*$B$5,F8)</f>
      </c>
      <c r="G11">
        <f>=MIN(tlb_amort_pct*$B$5,G8)</f>
      </c>
    </row>
    <row r="12">
      <c r="B12" t="inlineStr">
        <is>
          <t>  Sweep</t>
        </is>
      </c>
      <c r="C12">
        <f>=MIN(cash_sweep_pct*MAX(0,C10-C11),C8-C11)</f>
      </c>
      <c r="D12">
        <f>=MIN(cash_sweep_pct*MAX(0,D10-D11),D8-D11)</f>
      </c>
      <c r="E12">
        <f>=MIN(cash_sweep_pct*MAX(0,E10-E11),E8-E11)</f>
      </c>
      <c r="F12">
        <f>=MIN(cash_sweep_pct*MAX(0,F10-F11),F8-F11)</f>
      </c>
      <c r="G12">
        <f>=MIN(cash_sweep_pct*MAX(0,G10-G11),G8-G11)</f>
      </c>
    </row>
    <row r="13">
      <c r="B13" t="inlineStr">
        <is>
          <t>  Retained</t>
        </is>
      </c>
      <c r="C13">
        <f>=C10-C11-C12</f>
      </c>
      <c r="D13">
        <f>=D10-D11-D12</f>
      </c>
      <c r="E13">
        <f>=E10-E11-E12</f>
      </c>
      <c r="F13">
        <f>=F10-F11-F12</f>
      </c>
      <c r="G13">
        <f>=G10-G11-G12</f>
      </c>
    </row>
    <row r="14">
      <c r="B14" t="inlineStr">
        <is>
          <t>  TLB ending</t>
        </is>
      </c>
      <c r="C14">
        <f>=C8-C11-C12</f>
      </c>
      <c r="D14">
        <f>=D8-D11-D12</f>
      </c>
      <c r="E14">
        <f>=E8-E11-E12</f>
      </c>
      <c r="F14">
        <f>=F8-F11-F12</f>
      </c>
      <c r="G14">
        <f>=G8-G11-G12</f>
      </c>
    </row>
    <row r="15">
      <c r="B15" t="inlineStr">
        <is>
          <t>  Cash ending</t>
        </is>
      </c>
      <c r="C15">
        <f>=min_cash+SUM(C13:G13)</f>
      </c>
    </row>
    <row r="16">
      <c r="B16" t="inlineStr">
        <is>
          <t>  Mezzanine at exit</t>
        </is>
      </c>
      <c r="C16">
        <f>=Sources_Uses!$C$18*(1+mezz_pik_rate)^hold_years</f>
      </c>
    </row>
    <row r="17">
      <c r="B17" t="inlineStr">
        <is>
          <t>  Net debt at exit</t>
        </is>
      </c>
      <c r="C17">
        <f>=G14+C16-C15</f>
      </c>
    </row>
    <row r="19">
      <c r="B19" t="inlineStr">
        <is>
          <t>Leverage case 4.5x TLB</t>
        </is>
      </c>
    </row>
    <row r="20">
      <c r="B20">
        <v>4.5</v>
      </c>
      <c r="C20" t="inlineStr">
        <is>
          <t>TLB at close</t>
        </is>
      </c>
    </row>
    <row r="21">
      <c r="B21">
        <f>=(Sources_Uses!$C$10+Sources_Uses!$C$11+Sources_Uses!$C$12+fin_fee_pct*(B20+Sources_Uses!$C$18))-B20-Sources_Uses!$C$18-Sources_Uses!$C$19</f>
      </c>
      <c r="C21" t="inlineStr">
        <is>
          <t>Sponsor equity</t>
        </is>
      </c>
    </row>
    <row r="22">
      <c r="B22" t="inlineStr">
        <is>
          <t>year →</t>
        </is>
      </c>
      <c r="C22" t="inlineStr">
        <is>
          <t>FY2027</t>
        </is>
      </c>
      <c r="D22" t="inlineStr">
        <is>
          <t>FY2028</t>
        </is>
      </c>
      <c r="E22" t="inlineStr">
        <is>
          <t>FY2029</t>
        </is>
      </c>
      <c r="F22" t="inlineStr">
        <is>
          <t>FY2030</t>
        </is>
      </c>
      <c r="G22" t="inlineStr">
        <is>
          <t>FY2031</t>
        </is>
      </c>
    </row>
    <row r="23">
      <c r="B23" t="inlineStr">
        <is>
          <t>  TLB beginning</t>
        </is>
      </c>
      <c r="C23">
        <f>=$B$20</f>
      </c>
      <c r="D23">
        <f>=C29</f>
      </c>
      <c r="E23">
        <f>=D29</f>
      </c>
      <c r="F23">
        <f>=E29</f>
      </c>
      <c r="G23">
        <f>=F29</f>
      </c>
    </row>
    <row r="24">
      <c r="B24" t="inlineStr">
        <is>
          <t>  Cash interest</t>
        </is>
      </c>
      <c r="C24">
        <f>=tlb_rate*C23+mezz_cash_rate*Sources_Uses!$C$18+commitment_fee*revolver_capacity</f>
      </c>
      <c r="D24">
        <f>=tlb_rate*D23+mezz_cash_rate*Sources_Uses!$C$18+commitment_fee*revolver_capacity</f>
      </c>
      <c r="E24">
        <f>=tlb_rate*E23+mezz_cash_rate*Sources_Uses!$C$18+commitment_fee*revolver_capacity</f>
      </c>
      <c r="F24">
        <f>=tlb_rate*F23+mezz_cash_rate*Sources_Uses!$C$18+commitment_fee*revolver_capacity</f>
      </c>
      <c r="G24">
        <f>=tlb_rate*G23+mezz_cash_rate*Sources_Uses!$C$18+commitment_fee*revolver_capacity</f>
      </c>
    </row>
    <row r="25">
      <c r="B25" t="inlineStr">
        <is>
          <t>  CFADR</t>
        </is>
      </c>
      <c r="C25">
        <f>=(Operating_Model!C$19-Operating_Model!C$21-C24)*(1-tax_rate)+Operating_Model!C$21-Operating_Model!C$24-Operating_Model!C$25</f>
      </c>
      <c r="D25">
        <f>=(Operating_Model!D$19-Operating_Model!D$21-D24)*(1-tax_rate)+Operating_Model!D$21-Operating_Model!D$24-Operating_Model!D$25</f>
      </c>
      <c r="E25">
        <f>=(Operating_Model!E$19-Operating_Model!E$21-E24)*(1-tax_rate)+Operating_Model!E$21-Operating_Model!E$24-Operating_Model!E$25</f>
      </c>
      <c r="F25">
        <f>=(Operating_Model!F$19-Operating_Model!F$21-F24)*(1-tax_rate)+Operating_Model!F$21-Operating_Model!F$24-Operating_Model!F$25</f>
      </c>
      <c r="G25">
        <f>=(Operating_Model!G$19-Operating_Model!G$21-G24)*(1-tax_rate)+Operating_Model!G$21-Operating_Model!G$24-Operating_Model!G$25</f>
      </c>
    </row>
    <row r="26">
      <c r="B26" t="inlineStr">
        <is>
          <t>  Mandatory</t>
        </is>
      </c>
      <c r="C26">
        <f>=MIN(tlb_amort_pct*$B$20,C23)</f>
      </c>
      <c r="D26">
        <f>=MIN(tlb_amort_pct*$B$20,D23)</f>
      </c>
      <c r="E26">
        <f>=MIN(tlb_amort_pct*$B$20,E23)</f>
      </c>
      <c r="F26">
        <f>=MIN(tlb_amort_pct*$B$20,F23)</f>
      </c>
      <c r="G26">
        <f>=MIN(tlb_amort_pct*$B$20,G23)</f>
      </c>
    </row>
    <row r="27">
      <c r="B27" t="inlineStr">
        <is>
          <t>  Sweep</t>
        </is>
      </c>
      <c r="C27">
        <f>=MIN(cash_sweep_pct*MAX(0,C25-C26),C23-C26)</f>
      </c>
      <c r="D27">
        <f>=MIN(cash_sweep_pct*MAX(0,D25-D26),D23-D26)</f>
      </c>
      <c r="E27">
        <f>=MIN(cash_sweep_pct*MAX(0,E25-E26),E23-E26)</f>
      </c>
      <c r="F27">
        <f>=MIN(cash_sweep_pct*MAX(0,F25-F26),F23-F26)</f>
      </c>
      <c r="G27">
        <f>=MIN(cash_sweep_pct*MAX(0,G25-G26),G23-G26)</f>
      </c>
    </row>
    <row r="28">
      <c r="B28" t="inlineStr">
        <is>
          <t>  Retained</t>
        </is>
      </c>
      <c r="C28">
        <f>=C25-C26-C27</f>
      </c>
      <c r="D28">
        <f>=D25-D26-D27</f>
      </c>
      <c r="E28">
        <f>=E25-E26-E27</f>
      </c>
      <c r="F28">
        <f>=F25-F26-F27</f>
      </c>
      <c r="G28">
        <f>=G25-G26-G27</f>
      </c>
    </row>
    <row r="29">
      <c r="B29" t="inlineStr">
        <is>
          <t>  TLB ending</t>
        </is>
      </c>
      <c r="C29">
        <f>=C23-C26-C27</f>
      </c>
      <c r="D29">
        <f>=D23-D26-D27</f>
      </c>
      <c r="E29">
        <f>=E23-E26-E27</f>
      </c>
      <c r="F29">
        <f>=F23-F26-F27</f>
      </c>
      <c r="G29">
        <f>=G23-G26-G27</f>
      </c>
    </row>
    <row r="30">
      <c r="B30" t="inlineStr">
        <is>
          <t>  Cash ending</t>
        </is>
      </c>
      <c r="C30">
        <f>=min_cash+SUM(C28:G28)</f>
      </c>
    </row>
    <row r="31">
      <c r="B31" t="inlineStr">
        <is>
          <t>  Mezzanine at exit</t>
        </is>
      </c>
      <c r="C31">
        <f>=Sources_Uses!$C$18*(1+mezz_pik_rate)^hold_years</f>
      </c>
    </row>
    <row r="32">
      <c r="B32" t="inlineStr">
        <is>
          <t>  Net debt at exit</t>
        </is>
      </c>
      <c r="C32">
        <f>=G29+C31-C30</f>
      </c>
    </row>
    <row r="34">
      <c r="B34" t="inlineStr">
        <is>
          <t>Leverage case 5.0x TLB</t>
        </is>
      </c>
    </row>
    <row r="35">
      <c r="B35">
        <v>5.0</v>
      </c>
      <c r="C35" t="inlineStr">
        <is>
          <t>TLB at close</t>
        </is>
      </c>
    </row>
    <row r="36">
      <c r="B36">
        <f>=(Sources_Uses!$C$10+Sources_Uses!$C$11+Sources_Uses!$C$12+fin_fee_pct*(B35+Sources_Uses!$C$18))-B35-Sources_Uses!$C$18-Sources_Uses!$C$19</f>
      </c>
      <c r="C36" t="inlineStr">
        <is>
          <t>Sponsor equity</t>
        </is>
      </c>
    </row>
    <row r="37">
      <c r="B37" t="inlineStr">
        <is>
          <t>year →</t>
        </is>
      </c>
      <c r="C37" t="inlineStr">
        <is>
          <t>FY2027</t>
        </is>
      </c>
      <c r="D37" t="inlineStr">
        <is>
          <t>FY2028</t>
        </is>
      </c>
      <c r="E37" t="inlineStr">
        <is>
          <t>FY2029</t>
        </is>
      </c>
      <c r="F37" t="inlineStr">
        <is>
          <t>FY2030</t>
        </is>
      </c>
      <c r="G37" t="inlineStr">
        <is>
          <t>FY2031</t>
        </is>
      </c>
    </row>
    <row r="38">
      <c r="B38" t="inlineStr">
        <is>
          <t>  TLB beginning</t>
        </is>
      </c>
      <c r="C38">
        <f>=$B$35</f>
      </c>
      <c r="D38">
        <f>=C44</f>
      </c>
      <c r="E38">
        <f>=D44</f>
      </c>
      <c r="F38">
        <f>=E44</f>
      </c>
      <c r="G38">
        <f>=F44</f>
      </c>
    </row>
    <row r="39">
      <c r="B39" t="inlineStr">
        <is>
          <t>  Cash interest</t>
        </is>
      </c>
      <c r="C39">
        <f>=tlb_rate*C38+mezz_cash_rate*Sources_Uses!$C$18+commitment_fee*revolver_capacity</f>
      </c>
      <c r="D39">
        <f>=tlb_rate*D38+mezz_cash_rate*Sources_Uses!$C$18+commitment_fee*revolver_capacity</f>
      </c>
      <c r="E39">
        <f>=tlb_rate*E38+mezz_cash_rate*Sources_Uses!$C$18+commitment_fee*revolver_capacity</f>
      </c>
      <c r="F39">
        <f>=tlb_rate*F38+mezz_cash_rate*Sources_Uses!$C$18+commitment_fee*revolver_capacity</f>
      </c>
      <c r="G39">
        <f>=tlb_rate*G38+mezz_cash_rate*Sources_Uses!$C$18+commitment_fee*revolver_capacity</f>
      </c>
    </row>
    <row r="40">
      <c r="B40" t="inlineStr">
        <is>
          <t>  CFADR</t>
        </is>
      </c>
      <c r="C40">
        <f>=(Operating_Model!C$19-Operating_Model!C$21-C39)*(1-tax_rate)+Operating_Model!C$21-Operating_Model!C$24-Operating_Model!C$25</f>
      </c>
      <c r="D40">
        <f>=(Operating_Model!D$19-Operating_Model!D$21-D39)*(1-tax_rate)+Operating_Model!D$21-Operating_Model!D$24-Operating_Model!D$25</f>
      </c>
      <c r="E40">
        <f>=(Operating_Model!E$19-Operating_Model!E$21-E39)*(1-tax_rate)+Operating_Model!E$21-Operating_Model!E$24-Operating_Model!E$25</f>
      </c>
      <c r="F40">
        <f>=(Operating_Model!F$19-Operating_Model!F$21-F39)*(1-tax_rate)+Operating_Model!F$21-Operating_Model!F$24-Operating_Model!F$25</f>
      </c>
      <c r="G40">
        <f>=(Operating_Model!G$19-Operating_Model!G$21-G39)*(1-tax_rate)+Operating_Model!G$21-Operating_Model!G$24-Operating_Model!G$25</f>
      </c>
    </row>
    <row r="41">
      <c r="B41" t="inlineStr">
        <is>
          <t>  Mandatory</t>
        </is>
      </c>
      <c r="C41">
        <f>=MIN(tlb_amort_pct*$B$35,C38)</f>
      </c>
      <c r="D41">
        <f>=MIN(tlb_amort_pct*$B$35,D38)</f>
      </c>
      <c r="E41">
        <f>=MIN(tlb_amort_pct*$B$35,E38)</f>
      </c>
      <c r="F41">
        <f>=MIN(tlb_amort_pct*$B$35,F38)</f>
      </c>
      <c r="G41">
        <f>=MIN(tlb_amort_pct*$B$35,G38)</f>
      </c>
    </row>
    <row r="42">
      <c r="B42" t="inlineStr">
        <is>
          <t>  Sweep</t>
        </is>
      </c>
      <c r="C42">
        <f>=MIN(cash_sweep_pct*MAX(0,C40-C41),C38-C41)</f>
      </c>
      <c r="D42">
        <f>=MIN(cash_sweep_pct*MAX(0,D40-D41),D38-D41)</f>
      </c>
      <c r="E42">
        <f>=MIN(cash_sweep_pct*MAX(0,E40-E41),E38-E41)</f>
      </c>
      <c r="F42">
        <f>=MIN(cash_sweep_pct*MAX(0,F40-F41),F38-F41)</f>
      </c>
      <c r="G42">
        <f>=MIN(cash_sweep_pct*MAX(0,G40-G41),G38-G41)</f>
      </c>
    </row>
    <row r="43">
      <c r="B43" t="inlineStr">
        <is>
          <t>  Retained</t>
        </is>
      </c>
      <c r="C43">
        <f>=C40-C41-C42</f>
      </c>
      <c r="D43">
        <f>=D40-D41-D42</f>
      </c>
      <c r="E43">
        <f>=E40-E41-E42</f>
      </c>
      <c r="F43">
        <f>=F40-F41-F42</f>
      </c>
      <c r="G43">
        <f>=G40-G41-G42</f>
      </c>
    </row>
    <row r="44">
      <c r="B44" t="inlineStr">
        <is>
          <t>  TLB ending</t>
        </is>
      </c>
      <c r="C44">
        <f>=C38-C41-C42</f>
      </c>
      <c r="D44">
        <f>=D38-D41-D42</f>
      </c>
      <c r="E44">
        <f>=E38-E41-E42</f>
      </c>
      <c r="F44">
        <f>=F38-F41-F42</f>
      </c>
      <c r="G44">
        <f>=G38-G41-G42</f>
      </c>
    </row>
    <row r="45">
      <c r="B45" t="inlineStr">
        <is>
          <t>  Cash ending</t>
        </is>
      </c>
      <c r="C45">
        <f>=min_cash+SUM(C43:G43)</f>
      </c>
    </row>
    <row r="46">
      <c r="B46" t="inlineStr">
        <is>
          <t>  Mezzanine at exit</t>
        </is>
      </c>
      <c r="C46">
        <f>=Sources_Uses!$C$18*(1+mezz_pik_rate)^hold_years</f>
      </c>
    </row>
    <row r="47">
      <c r="B47" t="inlineStr">
        <is>
          <t>  Net debt at exit</t>
        </is>
      </c>
      <c r="C47">
        <f>=G44+C46-C45</f>
      </c>
    </row>
    <row r="49">
      <c r="B49" t="inlineStr">
        <is>
          <t>Leverage case 5.5x TLB</t>
        </is>
      </c>
    </row>
    <row r="50">
      <c r="B50">
        <v>5.5</v>
      </c>
      <c r="C50" t="inlineStr">
        <is>
          <t>TLB at close</t>
        </is>
      </c>
    </row>
    <row r="51">
      <c r="B51">
        <f>=(Sources_Uses!$C$10+Sources_Uses!$C$11+Sources_Uses!$C$12+fin_fee_pct*(B50+Sources_Uses!$C$18))-B50-Sources_Uses!$C$18-Sources_Uses!$C$19</f>
      </c>
      <c r="C51" t="inlineStr">
        <is>
          <t>Sponsor equity</t>
        </is>
      </c>
    </row>
    <row r="52">
      <c r="B52" t="inlineStr">
        <is>
          <t>year →</t>
        </is>
      </c>
      <c r="C52" t="inlineStr">
        <is>
          <t>FY2027</t>
        </is>
      </c>
      <c r="D52" t="inlineStr">
        <is>
          <t>FY2028</t>
        </is>
      </c>
      <c r="E52" t="inlineStr">
        <is>
          <t>FY2029</t>
        </is>
      </c>
      <c r="F52" t="inlineStr">
        <is>
          <t>FY2030</t>
        </is>
      </c>
      <c r="G52" t="inlineStr">
        <is>
          <t>FY2031</t>
        </is>
      </c>
    </row>
    <row r="53">
      <c r="B53" t="inlineStr">
        <is>
          <t>  TLB beginning</t>
        </is>
      </c>
      <c r="C53">
        <f>=$B$50</f>
      </c>
      <c r="D53">
        <f>=C59</f>
      </c>
      <c r="E53">
        <f>=D59</f>
      </c>
      <c r="F53">
        <f>=E59</f>
      </c>
      <c r="G53">
        <f>=F59</f>
      </c>
    </row>
    <row r="54">
      <c r="B54" t="inlineStr">
        <is>
          <t>  Cash interest</t>
        </is>
      </c>
      <c r="C54">
        <f>=tlb_rate*C53+mezz_cash_rate*Sources_Uses!$C$18+commitment_fee*revolver_capacity</f>
      </c>
      <c r="D54">
        <f>=tlb_rate*D53+mezz_cash_rate*Sources_Uses!$C$18+commitment_fee*revolver_capacity</f>
      </c>
      <c r="E54">
        <f>=tlb_rate*E53+mezz_cash_rate*Sources_Uses!$C$18+commitment_fee*revolver_capacity</f>
      </c>
      <c r="F54">
        <f>=tlb_rate*F53+mezz_cash_rate*Sources_Uses!$C$18+commitment_fee*revolver_capacity</f>
      </c>
      <c r="G54">
        <f>=tlb_rate*G53+mezz_cash_rate*Sources_Uses!$C$18+commitment_fee*revolver_capacity</f>
      </c>
    </row>
    <row r="55">
      <c r="B55" t="inlineStr">
        <is>
          <t>  CFADR</t>
        </is>
      </c>
      <c r="C55">
        <f>=(Operating_Model!C$19-Operating_Model!C$21-C54)*(1-tax_rate)+Operating_Model!C$21-Operating_Model!C$24-Operating_Model!C$25</f>
      </c>
      <c r="D55">
        <f>=(Operating_Model!D$19-Operating_Model!D$21-D54)*(1-tax_rate)+Operating_Model!D$21-Operating_Model!D$24-Operating_Model!D$25</f>
      </c>
      <c r="E55">
        <f>=(Operating_Model!E$19-Operating_Model!E$21-E54)*(1-tax_rate)+Operating_Model!E$21-Operating_Model!E$24-Operating_Model!E$25</f>
      </c>
      <c r="F55">
        <f>=(Operating_Model!F$19-Operating_Model!F$21-F54)*(1-tax_rate)+Operating_Model!F$21-Operating_Model!F$24-Operating_Model!F$25</f>
      </c>
      <c r="G55">
        <f>=(Operating_Model!G$19-Operating_Model!G$21-G54)*(1-tax_rate)+Operating_Model!G$21-Operating_Model!G$24-Operating_Model!G$25</f>
      </c>
    </row>
    <row r="56">
      <c r="B56" t="inlineStr">
        <is>
          <t>  Mandatory</t>
        </is>
      </c>
      <c r="C56">
        <f>=MIN(tlb_amort_pct*$B$50,C53)</f>
      </c>
      <c r="D56">
        <f>=MIN(tlb_amort_pct*$B$50,D53)</f>
      </c>
      <c r="E56">
        <f>=MIN(tlb_amort_pct*$B$50,E53)</f>
      </c>
      <c r="F56">
        <f>=MIN(tlb_amort_pct*$B$50,F53)</f>
      </c>
      <c r="G56">
        <f>=MIN(tlb_amort_pct*$B$50,G53)</f>
      </c>
    </row>
    <row r="57">
      <c r="B57" t="inlineStr">
        <is>
          <t>  Sweep</t>
        </is>
      </c>
      <c r="C57">
        <f>=MIN(cash_sweep_pct*MAX(0,C55-C56),C53-C56)</f>
      </c>
      <c r="D57">
        <f>=MIN(cash_sweep_pct*MAX(0,D55-D56),D53-D56)</f>
      </c>
      <c r="E57">
        <f>=MIN(cash_sweep_pct*MAX(0,E55-E56),E53-E56)</f>
      </c>
      <c r="F57">
        <f>=MIN(cash_sweep_pct*MAX(0,F55-F56),F53-F56)</f>
      </c>
      <c r="G57">
        <f>=MIN(cash_sweep_pct*MAX(0,G55-G56),G53-G56)</f>
      </c>
    </row>
    <row r="58">
      <c r="B58" t="inlineStr">
        <is>
          <t>  Retained</t>
        </is>
      </c>
      <c r="C58">
        <f>=C55-C56-C57</f>
      </c>
      <c r="D58">
        <f>=D55-D56-D57</f>
      </c>
      <c r="E58">
        <f>=E55-E56-E57</f>
      </c>
      <c r="F58">
        <f>=F55-F56-F57</f>
      </c>
      <c r="G58">
        <f>=G55-G56-G57</f>
      </c>
    </row>
    <row r="59">
      <c r="B59" t="inlineStr">
        <is>
          <t>  TLB ending</t>
        </is>
      </c>
      <c r="C59">
        <f>=C53-C56-C57</f>
      </c>
      <c r="D59">
        <f>=D53-D56-D57</f>
      </c>
      <c r="E59">
        <f>=E53-E56-E57</f>
      </c>
      <c r="F59">
        <f>=F53-F56-F57</f>
      </c>
      <c r="G59">
        <f>=G53-G56-G57</f>
      </c>
    </row>
    <row r="60">
      <c r="B60" t="inlineStr">
        <is>
          <t>  Cash ending</t>
        </is>
      </c>
      <c r="C60">
        <f>=min_cash+SUM(C58:G58)</f>
      </c>
    </row>
    <row r="61">
      <c r="B61" t="inlineStr">
        <is>
          <t>  Mezzanine at exit</t>
        </is>
      </c>
      <c r="C61">
        <f>=Sources_Uses!$C$18*(1+mezz_pik_rate)^hold_years</f>
      </c>
    </row>
    <row r="62">
      <c r="B62" t="inlineStr">
        <is>
          <t>  Net debt at exit</t>
        </is>
      </c>
      <c r="C62">
        <f>=G59+C61-C60</f>
      </c>
    </row>
    <row r="64">
      <c r="B64" t="inlineStr">
        <is>
          <t>Leverage case 6.0x TLB</t>
        </is>
      </c>
    </row>
    <row r="65">
      <c r="B65">
        <v>6.0</v>
      </c>
      <c r="C65" t="inlineStr">
        <is>
          <t>TLB at close</t>
        </is>
      </c>
    </row>
    <row r="66">
      <c r="B66">
        <f>=(Sources_Uses!$C$10+Sources_Uses!$C$11+Sources_Uses!$C$12+fin_fee_pct*(B65+Sources_Uses!$C$18))-B65-Sources_Uses!$C$18-Sources_Uses!$C$19</f>
      </c>
      <c r="C66" t="inlineStr">
        <is>
          <t>Sponsor equity</t>
        </is>
      </c>
    </row>
    <row r="67">
      <c r="B67" t="inlineStr">
        <is>
          <t>year →</t>
        </is>
      </c>
      <c r="C67" t="inlineStr">
        <is>
          <t>FY2027</t>
        </is>
      </c>
      <c r="D67" t="inlineStr">
        <is>
          <t>FY2028</t>
        </is>
      </c>
      <c r="E67" t="inlineStr">
        <is>
          <t>FY2029</t>
        </is>
      </c>
      <c r="F67" t="inlineStr">
        <is>
          <t>FY2030</t>
        </is>
      </c>
      <c r="G67" t="inlineStr">
        <is>
          <t>FY2031</t>
        </is>
      </c>
    </row>
    <row r="68">
      <c r="B68" t="inlineStr">
        <is>
          <t>  TLB beginning</t>
        </is>
      </c>
      <c r="C68">
        <f>=$B$65</f>
      </c>
      <c r="D68">
        <f>=C74</f>
      </c>
      <c r="E68">
        <f>=D74</f>
      </c>
      <c r="F68">
        <f>=E74</f>
      </c>
      <c r="G68">
        <f>=F74</f>
      </c>
    </row>
    <row r="69">
      <c r="B69" t="inlineStr">
        <is>
          <t>  Cash interest</t>
        </is>
      </c>
      <c r="C69">
        <f>=tlb_rate*C68+mezz_cash_rate*Sources_Uses!$C$18+commitment_fee*revolver_capacity</f>
      </c>
      <c r="D69">
        <f>=tlb_rate*D68+mezz_cash_rate*Sources_Uses!$C$18+commitment_fee*revolver_capacity</f>
      </c>
      <c r="E69">
        <f>=tlb_rate*E68+mezz_cash_rate*Sources_Uses!$C$18+commitment_fee*revolver_capacity</f>
      </c>
      <c r="F69">
        <f>=tlb_rate*F68+mezz_cash_rate*Sources_Uses!$C$18+commitment_fee*revolver_capacity</f>
      </c>
      <c r="G69">
        <f>=tlb_rate*G68+mezz_cash_rate*Sources_Uses!$C$18+commitment_fee*revolver_capacity</f>
      </c>
    </row>
    <row r="70">
      <c r="B70" t="inlineStr">
        <is>
          <t>  CFADR</t>
        </is>
      </c>
      <c r="C70">
        <f>=(Operating_Model!C$19-Operating_Model!C$21-C69)*(1-tax_rate)+Operating_Model!C$21-Operating_Model!C$24-Operating_Model!C$25</f>
      </c>
      <c r="D70">
        <f>=(Operating_Model!D$19-Operating_Model!D$21-D69)*(1-tax_rate)+Operating_Model!D$21-Operating_Model!D$24-Operating_Model!D$25</f>
      </c>
      <c r="E70">
        <f>=(Operating_Model!E$19-Operating_Model!E$21-E69)*(1-tax_rate)+Operating_Model!E$21-Operating_Model!E$24-Operating_Model!E$25</f>
      </c>
      <c r="F70">
        <f>=(Operating_Model!F$19-Operating_Model!F$21-F69)*(1-tax_rate)+Operating_Model!F$21-Operating_Model!F$24-Operating_Model!F$25</f>
      </c>
      <c r="G70">
        <f>=(Operating_Model!G$19-Operating_Model!G$21-G69)*(1-tax_rate)+Operating_Model!G$21-Operating_Model!G$24-Operating_Model!G$25</f>
      </c>
    </row>
    <row r="71">
      <c r="B71" t="inlineStr">
        <is>
          <t>  Mandatory</t>
        </is>
      </c>
      <c r="C71">
        <f>=MIN(tlb_amort_pct*$B$65,C68)</f>
      </c>
      <c r="D71">
        <f>=MIN(tlb_amort_pct*$B$65,D68)</f>
      </c>
      <c r="E71">
        <f>=MIN(tlb_amort_pct*$B$65,E68)</f>
      </c>
      <c r="F71">
        <f>=MIN(tlb_amort_pct*$B$65,F68)</f>
      </c>
      <c r="G71">
        <f>=MIN(tlb_amort_pct*$B$65,G68)</f>
      </c>
    </row>
    <row r="72">
      <c r="B72" t="inlineStr">
        <is>
          <t>  Sweep</t>
        </is>
      </c>
      <c r="C72">
        <f>=MIN(cash_sweep_pct*MAX(0,C70-C71),C68-C71)</f>
      </c>
      <c r="D72">
        <f>=MIN(cash_sweep_pct*MAX(0,D70-D71),D68-D71)</f>
      </c>
      <c r="E72">
        <f>=MIN(cash_sweep_pct*MAX(0,E70-E71),E68-E71)</f>
      </c>
      <c r="F72">
        <f>=MIN(cash_sweep_pct*MAX(0,F70-F71),F68-F71)</f>
      </c>
      <c r="G72">
        <f>=MIN(cash_sweep_pct*MAX(0,G70-G71),G68-G71)</f>
      </c>
    </row>
    <row r="73">
      <c r="B73" t="inlineStr">
        <is>
          <t>  Retained</t>
        </is>
      </c>
      <c r="C73">
        <f>=C70-C71-C72</f>
      </c>
      <c r="D73">
        <f>=D70-D71-D72</f>
      </c>
      <c r="E73">
        <f>=E70-E71-E72</f>
      </c>
      <c r="F73">
        <f>=F70-F71-F72</f>
      </c>
      <c r="G73">
        <f>=G70-G71-G72</f>
      </c>
    </row>
    <row r="74">
      <c r="B74" t="inlineStr">
        <is>
          <t>  TLB ending</t>
        </is>
      </c>
      <c r="C74">
        <f>=C68-C71-C72</f>
      </c>
      <c r="D74">
        <f>=D68-D71-D72</f>
      </c>
      <c r="E74">
        <f>=E68-E71-E72</f>
      </c>
      <c r="F74">
        <f>=F68-F71-F72</f>
      </c>
      <c r="G74">
        <f>=G68-G71-G72</f>
      </c>
    </row>
    <row r="75">
      <c r="B75" t="inlineStr">
        <is>
          <t>  Cash ending</t>
        </is>
      </c>
      <c r="C75">
        <f>=min_cash+SUM(C73:G73)</f>
      </c>
    </row>
    <row r="76">
      <c r="B76" t="inlineStr">
        <is>
          <t>  Mezzanine at exit</t>
        </is>
      </c>
      <c r="C76">
        <f>=Sources_Uses!$C$18*(1+mezz_pik_rate)^hold_years</f>
      </c>
    </row>
    <row r="77">
      <c r="B77" t="inlineStr">
        <is>
          <t>  Net debt at exit</t>
        </is>
      </c>
      <c r="C77">
        <f>=G74+C76-C75</f>
      </c>
    </row>
  </sheetData>
</worksheet>
</file>

<file path=xl/worksheets/sheet7.xml><?xml version="1.0" encoding="utf-8"?>
<worksheet xmlns="http://schemas.openxmlformats.org/spreadsheetml/2006/main">
  <sheetData>
    <row r="2">
      <c r="A2" t="inlineStr">
        <is>
          <t>Returns (EUR m)</t>
        </is>
      </c>
    </row>
    <row r="3">
      <c r="B3" t="inlineStr">
        <is>
          <t>Exit-year EBITDA</t>
        </is>
      </c>
      <c r="C3">
        <f>=Debt_Schedule!G2</f>
      </c>
    </row>
    <row r="4">
      <c r="B4" t="inlineStr">
        <is>
          <t>Exit multiple</t>
        </is>
      </c>
      <c r="C4">
        <f>=exit_multiple</f>
      </c>
    </row>
    <row r="5">
      <c r="B5" t="inlineStr">
        <is>
          <t>Exit EV</t>
        </is>
      </c>
      <c r="C5">
        <f>=C3*C4</f>
      </c>
    </row>
    <row r="6">
      <c r="B6" t="inlineStr">
        <is>
          <t>Net debt at exit</t>
        </is>
      </c>
      <c r="C6">
        <f>=Debt_Schedule!G44</f>
      </c>
    </row>
    <row r="7">
      <c r="B7" t="inlineStr">
        <is>
          <t>Exit equity to sponsor</t>
        </is>
      </c>
      <c r="C7">
        <f>=C5-C6</f>
      </c>
    </row>
    <row r="8">
      <c r="B8" t="inlineStr">
        <is>
          <t>Sponsor equity at entry</t>
        </is>
      </c>
      <c r="C8">
        <f>=Sources_Uses!C20</f>
      </c>
    </row>
    <row r="9">
      <c r="B9" t="inlineStr">
        <is>
          <t>MOIC (x)</t>
        </is>
      </c>
      <c r="C9">
        <f>=C7/C8</f>
      </c>
    </row>
    <row r="11">
      <c r="B11" t="inlineStr">
        <is>
          <t>Sponsor cash flows</t>
        </is>
      </c>
    </row>
    <row r="12">
      <c r="B12">
        <f>=-C8</f>
      </c>
      <c r="C12">
        <v>0.0</v>
      </c>
      <c r="D12">
        <v>0.0</v>
      </c>
      <c r="E12">
        <v>0.0</v>
      </c>
      <c r="F12">
        <v>0.0</v>
      </c>
      <c r="G12">
        <f>=C7</f>
      </c>
    </row>
    <row r="13">
      <c r="B13" t="inlineStr">
        <is>
          <t>Sponsor IRR</t>
        </is>
      </c>
      <c r="C13">
        <f>=IRR(B12:G12)</f>
      </c>
    </row>
    <row r="14">
      <c r="B14">
        <f>=-C8</f>
      </c>
      <c r="C14">
        <v>0.0</v>
      </c>
      <c r="D14">
        <v>0.0</v>
      </c>
      <c r="E14">
        <v>0.0</v>
      </c>
      <c r="F14">
        <v>0.0</v>
      </c>
      <c r="G14">
        <f>=C5-Debt_Schedule_Avg!G44</f>
      </c>
    </row>
    <row r="15">
      <c r="B15" t="inlineStr">
        <is>
          <t>Sponsor IRR (avg-balance interest)</t>
        </is>
      </c>
      <c r="C15">
        <f>=IRR(B14:G14)</f>
      </c>
    </row>
    <row r="16">
      <c r="B16" t="inlineStr">
        <is>
          <t>Breakeven exit multiple (goal seek: IRR = hurdle)</t>
        </is>
      </c>
      <c r="C16">
        <v>7.5420183108582</v>
      </c>
      <c r="D16" t="inlineStr">
        <is>
          <t>← static value; in Excel: Data → What-If Analysis → Goal Seek</t>
        </is>
      </c>
    </row>
    <row r="18">
      <c r="A18" t="inlineStr">
        <is>
          <t>Sensitivity: sponsor IRR by exit multiple (rows) × TLB leverage (columns)</t>
        </is>
      </c>
      <c r="B18" t="inlineStr">
        <is>
          <t>exit multiple ↓ / TLB turns →</t>
        </is>
      </c>
    </row>
    <row r="19">
      <c r="C19">
        <v>4.0</v>
      </c>
      <c r="D19">
        <v>4.5</v>
      </c>
      <c r="E19">
        <v>5.0</v>
      </c>
      <c r="F19">
        <v>5.5</v>
      </c>
      <c r="G19">
        <v>6.0</v>
      </c>
    </row>
    <row r="20">
      <c r="B20">
        <v>7.0</v>
      </c>
      <c r="C20">
        <f>=POWER(($B20*$C$3-Sens_Models!$C$17)/Sens_Models!$B$6,1/hold_years)-1</f>
      </c>
      <c r="D20">
        <f>=POWER(($B20*$C$3-Sens_Models!$C$32)/Sens_Models!$B$21,1/hold_years)-1</f>
      </c>
      <c r="E20">
        <f>=POWER(($B20*$C$3-Sens_Models!$C$47)/Sens_Models!$B$36,1/hold_years)-1</f>
      </c>
      <c r="F20">
        <f>=POWER(($B20*$C$3-Sens_Models!$C$62)/Sens_Models!$B$51,1/hold_years)-1</f>
      </c>
      <c r="G20">
        <f>=POWER(($B20*$C$3-Sens_Models!$C$77)/Sens_Models!$B$66,1/hold_years)-1</f>
      </c>
    </row>
    <row r="21">
      <c r="B21">
        <v>7.5</v>
      </c>
      <c r="C21">
        <f>=POWER(($B21*$C$3-Sens_Models!$C$17)/Sens_Models!$B$6,1/hold_years)-1</f>
      </c>
      <c r="D21">
        <f>=POWER(($B21*$C$3-Sens_Models!$C$32)/Sens_Models!$B$21,1/hold_years)-1</f>
      </c>
      <c r="E21">
        <f>=POWER(($B21*$C$3-Sens_Models!$C$47)/Sens_Models!$B$36,1/hold_years)-1</f>
      </c>
      <c r="F21">
        <f>=POWER(($B21*$C$3-Sens_Models!$C$62)/Sens_Models!$B$51,1/hold_years)-1</f>
      </c>
      <c r="G21">
        <f>=POWER(($B21*$C$3-Sens_Models!$C$77)/Sens_Models!$B$66,1/hold_years)-1</f>
      </c>
    </row>
    <row r="22">
      <c r="B22">
        <v>8.0</v>
      </c>
      <c r="C22">
        <f>=POWER(($B22*$C$3-Sens_Models!$C$17)/Sens_Models!$B$6,1/hold_years)-1</f>
      </c>
      <c r="D22">
        <f>=POWER(($B22*$C$3-Sens_Models!$C$32)/Sens_Models!$B$21,1/hold_years)-1</f>
      </c>
      <c r="E22">
        <f>=POWER(($B22*$C$3-Sens_Models!$C$47)/Sens_Models!$B$36,1/hold_years)-1</f>
      </c>
      <c r="F22">
        <f>=POWER(($B22*$C$3-Sens_Models!$C$62)/Sens_Models!$B$51,1/hold_years)-1</f>
      </c>
      <c r="G22">
        <f>=POWER(($B22*$C$3-Sens_Models!$C$77)/Sens_Models!$B$66,1/hold_years)-1</f>
      </c>
    </row>
    <row r="23">
      <c r="B23">
        <v>8.5</v>
      </c>
      <c r="C23">
        <f>=POWER(($B23*$C$3-Sens_Models!$C$17)/Sens_Models!$B$6,1/hold_years)-1</f>
      </c>
      <c r="D23">
        <f>=POWER(($B23*$C$3-Sens_Models!$C$32)/Sens_Models!$B$21,1/hold_years)-1</f>
      </c>
      <c r="E23">
        <f>=POWER(($B23*$C$3-Sens_Models!$C$47)/Sens_Models!$B$36,1/hold_years)-1</f>
      </c>
      <c r="F23">
        <f>=POWER(($B23*$C$3-Sens_Models!$C$62)/Sens_Models!$B$51,1/hold_years)-1</f>
      </c>
      <c r="G23">
        <f>=POWER(($B23*$C$3-Sens_Models!$C$77)/Sens_Models!$B$66,1/hold_years)-1</f>
      </c>
    </row>
    <row r="24">
      <c r="B24">
        <v>9.0</v>
      </c>
      <c r="C24">
        <f>=POWER(($B24*$C$3-Sens_Models!$C$17)/Sens_Models!$B$6,1/hold_years)-1</f>
      </c>
      <c r="D24">
        <f>=POWER(($B24*$C$3-Sens_Models!$C$32)/Sens_Models!$B$21,1/hold_years)-1</f>
      </c>
      <c r="E24">
        <f>=POWER(($B24*$C$3-Sens_Models!$C$47)/Sens_Models!$B$36,1/hold_years)-1</f>
      </c>
      <c r="F24">
        <f>=POWER(($B24*$C$3-Sens_Models!$C$62)/Sens_Models!$B$51,1/hold_years)-1</f>
      </c>
      <c r="G24">
        <f>=POWER(($B24*$C$3-Sens_Models!$C$77)/Sens_Models!$B$66,1/hold_years)-1</f>
      </c>
    </row>
    <row r="26">
      <c r="A26" t="inlineStr">
        <is>
          <t>Base case (8.0x / 5.0x) must equal C13 — the hand-rolled grid's own check</t>
        </is>
      </c>
    </row>
  </sheetData>
</worksheet>
</file>

<file path=xl/worksheets/sheet8.xml><?xml version="1.0" encoding="utf-8"?>
<worksheet xmlns="http://schemas.openxmlformats.org/spreadsheetml/2006/main">
  <sheetData>
    <row r="2">
      <c r="A2" t="inlineStr">
        <is>
          <t>Model checks — the IF(...,"OK","BREAK") convention</t>
        </is>
      </c>
    </row>
    <row r="3">
      <c r="A3" t="inlineStr">
        <is>
          <t>Sources = uses</t>
        </is>
      </c>
      <c r="B3">
        <f>=IF(ABS(Sources_Uses!C21-Sources_Uses!C14)&lt;0.01,"OK","BREAK")</f>
      </c>
    </row>
    <row r="4">
      <c r="A4" t="inlineStr">
        <is>
          <t>TLB roll-forward</t>
        </is>
      </c>
      <c r="C4">
        <f>=IF(ABS(Debt_Schedule!C10-(Debt_Schedule!C6-Debt_Schedule!C8-Debt_Schedule!C9))&lt;0.005,"OK","BREAK")</f>
      </c>
      <c r="D4">
        <f>=IF(ABS(Debt_Schedule!D10-(Debt_Schedule!D6-Debt_Schedule!D8-Debt_Schedule!D9))&lt;0.005,"OK","BREAK")</f>
      </c>
      <c r="E4">
        <f>=IF(ABS(Debt_Schedule!E10-(Debt_Schedule!E6-Debt_Schedule!E8-Debt_Schedule!E9))&lt;0.005,"OK","BREAK")</f>
      </c>
      <c r="F4">
        <f>=IF(ABS(Debt_Schedule!F10-(Debt_Schedule!F6-Debt_Schedule!F8-Debt_Schedule!F9))&lt;0.005,"OK","BREAK")</f>
      </c>
      <c r="G4">
        <f>=IF(ABS(Debt_Schedule!G10-(Debt_Schedule!G6-Debt_Schedule!G8-Debt_Schedule!G9))&lt;0.005,"OK","BREAK")</f>
      </c>
    </row>
    <row r="5">
      <c r="A5" t="inlineStr">
        <is>
          <t>Mezzanine roll-forward (PIK)</t>
        </is>
      </c>
      <c r="C5">
        <f>=IF(ABS(Debt_Schedule!C16-(Debt_Schedule!C13+Debt_Schedule!C15))&lt;0.005,"OK","BREAK")</f>
      </c>
      <c r="D5">
        <f>=IF(ABS(Debt_Schedule!D16-(Debt_Schedule!D13+Debt_Schedule!D15))&lt;0.005,"OK","BREAK")</f>
      </c>
      <c r="E5">
        <f>=IF(ABS(Debt_Schedule!E16-(Debt_Schedule!E13+Debt_Schedule!E15))&lt;0.005,"OK","BREAK")</f>
      </c>
      <c r="F5">
        <f>=IF(ABS(Debt_Schedule!F16-(Debt_Schedule!F13+Debt_Schedule!F15))&lt;0.005,"OK","BREAK")</f>
      </c>
      <c r="G5">
        <f>=IF(ABS(Debt_Schedule!G16-(Debt_Schedule!G13+Debt_Schedule!G15))&lt;0.005,"OK","BREAK")</f>
      </c>
    </row>
    <row r="6">
      <c r="A6" t="inlineStr">
        <is>
          <t>Revolver roll-forward</t>
        </is>
      </c>
      <c r="C6">
        <f>=IF(ABS(Debt_Schedule!C25-(Debt_Schedule!C19+Debt_Schedule!C23+Debt_Schedule!C24-Debt_Schedule!C22))&lt;0.005,"OK","BREAK")</f>
      </c>
      <c r="D6">
        <f>=IF(ABS(Debt_Schedule!D25-(Debt_Schedule!D19+Debt_Schedule!D23+Debt_Schedule!D24-Debt_Schedule!D22))&lt;0.005,"OK","BREAK")</f>
      </c>
      <c r="E6">
        <f>=IF(ABS(Debt_Schedule!E25-(Debt_Schedule!E19+Debt_Schedule!E23+Debt_Schedule!E24-Debt_Schedule!E22))&lt;0.005,"OK","BREAK")</f>
      </c>
      <c r="F6">
        <f>=IF(ABS(Debt_Schedule!F25-(Debt_Schedule!F19+Debt_Schedule!F23+Debt_Schedule!F24-Debt_Schedule!F22))&lt;0.005,"OK","BREAK")</f>
      </c>
      <c r="G6">
        <f>=IF(ABS(Debt_Schedule!G25-(Debt_Schedule!G19+Debt_Schedule!G23+Debt_Schedule!G24-Debt_Schedule!G22))&lt;0.005,"OK","BREAK")</f>
      </c>
    </row>
    <row r="7">
      <c r="A7" t="inlineStr">
        <is>
          <t>Cash roll-forward</t>
        </is>
      </c>
      <c r="C7">
        <f>=IF(ABS(Debt_Schedule!C41-(Debt_Schedule!C40+Debt_Schedule!C38))&lt;0.005,"OK","BREAK")</f>
      </c>
      <c r="D7">
        <f>=IF(ABS(Debt_Schedule!D41-(Debt_Schedule!D40+Debt_Schedule!D38))&lt;0.005,"OK","BREAK")</f>
      </c>
      <c r="E7">
        <f>=IF(ABS(Debt_Schedule!E41-(Debt_Schedule!E40+Debt_Schedule!E38))&lt;0.005,"OK","BREAK")</f>
      </c>
      <c r="F7">
        <f>=IF(ABS(Debt_Schedule!F41-(Debt_Schedule!F40+Debt_Schedule!F38))&lt;0.005,"OK","BREAK")</f>
      </c>
      <c r="G7">
        <f>=IF(ABS(Debt_Schedule!G41-(Debt_Schedule!G40+Debt_Schedule!G38))&lt;0.005,"OK","BREAK")</f>
      </c>
    </row>
    <row r="8">
      <c r="A8" t="inlineStr">
        <is>
          <t>Leverage covenant</t>
        </is>
      </c>
      <c r="B8">
        <f>=IF(MAX(Debt_Schedule!C45:G45)&lt;=6.0,"OK","BREACH")</f>
      </c>
    </row>
    <row r="9">
      <c r="A9" t="inlineStr">
        <is>
          <t>Coverage covenant</t>
        </is>
      </c>
      <c r="B9">
        <f>=IF(MIN(Debt_Schedule!C46:G46)&gt;=2.0,"OK","BREACH")</f>
      </c>
    </row>
    <row r="10">
      <c r="A10" t="inlineStr">
        <is>
          <t>Liquidity: cash ≥ minimum</t>
        </is>
      </c>
      <c r="B10">
        <f>=IF(MIN(Debt_Schedule!C41:G41)&gt;=min_cash,"OK","BREACH")</f>
      </c>
    </row>
    <row r="11">
      <c r="A11" t="inlineStr">
        <is>
          <t>Base IRR ≥ hurdle</t>
        </is>
      </c>
      <c r="B11">
        <f>=IF(Returns!C13&gt;=hurdle_irr,"PASS","FAIL")</f>
      </c>
    </row>
  </sheetData>
</worksheet>
</file>